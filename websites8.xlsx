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mpions Sheet" sheetId="1" r:id="rId5"/>
    <sheet state="visible" name="Sheet12" sheetId="2" r:id="rId6"/>
    <sheet state="visible" name="State Google Tags on Account" sheetId="3" r:id="rId7"/>
    <sheet state="visible" name="Viks State Rollup Sheet" sheetId="4" r:id="rId8"/>
    <sheet state="visible" name="Master Sheet" sheetId="5" r:id="rId9"/>
  </sheets>
  <definedNames>
    <definedName hidden="1" localSheetId="0" name="_xlnm._FilterDatabase">'Champions Sheet'!$A$1:$Y$319</definedName>
    <definedName hidden="1" localSheetId="2" name="_xlnm._FilterDatabase">'State Google Tags on Account'!$A$1:$Z$296</definedName>
    <definedName hidden="1" localSheetId="3" name="_xlnm._FilterDatabase">'Viks State Rollup Sheet'!$A$1:$Z$427</definedName>
    <definedName hidden="1" localSheetId="4" name="_xlnm._FilterDatabase">'Master Sheet'!$A$1:$K$521</definedName>
  </definedNames>
  <calcPr/>
</workbook>
</file>

<file path=xl/sharedStrings.xml><?xml version="1.0" encoding="utf-8"?>
<sst xmlns="http://schemas.openxmlformats.org/spreadsheetml/2006/main" count="11480" uniqueCount="2179">
  <si>
    <t>Account ID</t>
  </si>
  <si>
    <t>Agency</t>
  </si>
  <si>
    <t>GA360_Property_Name</t>
  </si>
  <si>
    <t>Roll-up Property ID</t>
  </si>
  <si>
    <t>Roll-up Property Name</t>
  </si>
  <si>
    <t>Source Property ID</t>
  </si>
  <si>
    <t>Source Property Name</t>
  </si>
  <si>
    <t>Original Data Collection</t>
  </si>
  <si>
    <t>Source Stream URL(s)</t>
  </si>
  <si>
    <t>Website_Title</t>
  </si>
  <si>
    <t>Source Tag ID(s)</t>
  </si>
  <si>
    <t>In Master Sheet?</t>
  </si>
  <si>
    <t>Host Name</t>
  </si>
  <si>
    <t>URL Path</t>
  </si>
  <si>
    <t>Status</t>
  </si>
  <si>
    <t>GA360_Property_ID</t>
  </si>
  <si>
    <t>Missing in My State API Pull</t>
  </si>
  <si>
    <t>GTM</t>
  </si>
  <si>
    <t>G-Tag</t>
  </si>
  <si>
    <t>State of Utah GA Account Y/N</t>
  </si>
  <si>
    <t>GA property Name</t>
  </si>
  <si>
    <t>Stream_Name</t>
  </si>
  <si>
    <t>Missing?</t>
  </si>
  <si>
    <t>Stream_URL</t>
  </si>
  <si>
    <t>Measurement_ID</t>
  </si>
  <si>
    <t>State of Utah Aggregate - Low Traffic</t>
  </si>
  <si>
    <t>Attorney General</t>
  </si>
  <si>
    <t>Missing</t>
  </si>
  <si>
    <t>http://attorneygeneral.utah.gov</t>
  </si>
  <si>
    <t>DGO - DHRM - Offer Acceptance</t>
  </si>
  <si>
    <t>Offer Acceptance</t>
  </si>
  <si>
    <t>https://offeracceptance.utah.gov/</t>
  </si>
  <si>
    <t>BOPP</t>
  </si>
  <si>
    <t>bop.utah.gov</t>
  </si>
  <si>
    <t>Board of Pardons &amp; Parole</t>
  </si>
  <si>
    <t>G-SF9EQBX4K6</t>
  </si>
  <si>
    <t>https://bop.utah.gov</t>
  </si>
  <si>
    <t>G-SHRVL5TZ37</t>
  </si>
  <si>
    <t>Active (200)</t>
  </si>
  <si>
    <t>GTM-T34QF72M</t>
  </si>
  <si>
    <t>G-4VZFST59D0</t>
  </si>
  <si>
    <t>Yes</t>
  </si>
  <si>
    <t>BOPP - Main Website</t>
  </si>
  <si>
    <t>State of Utah Aggregate</t>
  </si>
  <si>
    <t>Office of the Utah State Auditor</t>
  </si>
  <si>
    <t>http://auditor.utah.gov</t>
  </si>
  <si>
    <t>DOC - DOPL - UPHP</t>
  </si>
  <si>
    <t>CCE</t>
  </si>
  <si>
    <t>https://artsandmuseums.utah.gov/</t>
  </si>
  <si>
    <t>UPHP website</t>
  </si>
  <si>
    <t>Utah Division of Arts &amp; Museums | A Division of the Department of Cultural &amp; Community Engagement</t>
  </si>
  <si>
    <t>https://uphp.utah.gov/</t>
  </si>
  <si>
    <t>None Found</t>
  </si>
  <si>
    <t>G-76RDJXHW4B</t>
  </si>
  <si>
    <t>G-YBQJ163BW5</t>
  </si>
  <si>
    <t>CCE - AM</t>
  </si>
  <si>
    <t>https://indian.utah.gov/</t>
  </si>
  <si>
    <t>Utah Division of Indian Affairs | A Division of the Department of Cultural &amp; Community Engagement</t>
  </si>
  <si>
    <t>G-RTV6KNP85X</t>
  </si>
  <si>
    <t>G-L41CPHPD25</t>
  </si>
  <si>
    <t>CCE - IA</t>
  </si>
  <si>
    <t>DOC - All Public Websites</t>
  </si>
  <si>
    <t>DOC - All Websites - commerce.utah.gov</t>
  </si>
  <si>
    <t>http://commerce.utah.gov</t>
  </si>
  <si>
    <t>https://multicultural.utah.gov/</t>
  </si>
  <si>
    <t>Utah Division Of Multicultural Affairs | A Division of the Utah Department of Cultural and Community Engagement</t>
  </si>
  <si>
    <t>G-BGQYP4L42X</t>
  </si>
  <si>
    <t>CCE - MA</t>
  </si>
  <si>
    <t>G-PZZ62EM49P</t>
  </si>
  <si>
    <t>CCE - AM - Museum Social Impact</t>
  </si>
  <si>
    <t>Museum Social Impact Website</t>
  </si>
  <si>
    <t>https://museumsocialimpact.org</t>
  </si>
  <si>
    <t>https://community.utah.gov/</t>
  </si>
  <si>
    <t>Home - CCE</t>
  </si>
  <si>
    <t>G-GV5EBLNQCZ</t>
  </si>
  <si>
    <t>CCE - Main Website</t>
  </si>
  <si>
    <t>https://community.utah.gov/psuac/</t>
  </si>
  <si>
    <t>psuac - CCE</t>
  </si>
  <si>
    <t>G-4ERD645EY8</t>
  </si>
  <si>
    <t>DOC - CORP</t>
  </si>
  <si>
    <t>http://corporations.utah.gov</t>
  </si>
  <si>
    <t>https://ushpo.utah.gov/</t>
  </si>
  <si>
    <t>Utah State Historic Preservation Office | A Division of the Department of Cultural &amp; Community Engagement</t>
  </si>
  <si>
    <t>G-RED8SLHVQ3</t>
  </si>
  <si>
    <t>G-5SDH2CY979</t>
  </si>
  <si>
    <t>Found in Rollup</t>
  </si>
  <si>
    <t>CCE - SHPO</t>
  </si>
  <si>
    <t>UDOT - Trucksmart - trucksmart.udot.utah.gov</t>
  </si>
  <si>
    <t>Trucksmart 2021</t>
  </si>
  <si>
    <t>pulled from google analytics</t>
  </si>
  <si>
    <t>https://trucksmart.udot.utah.gov</t>
  </si>
  <si>
    <t>N/A</t>
  </si>
  <si>
    <t>history.utah.gov</t>
  </si>
  <si>
    <t>https://history.utah.gov</t>
  </si>
  <si>
    <t>Active</t>
  </si>
  <si>
    <t>G-TRQWCP98L2</t>
  </si>
  <si>
    <t>CCE -  HS</t>
  </si>
  <si>
    <t>https://userve.utah.gov/</t>
  </si>
  <si>
    <t>Taken from Rollup</t>
  </si>
  <si>
    <t>UServeUtah | A Division of the Department of Cultural and Community Engagement</t>
  </si>
  <si>
    <t>G-1RT859T9HN</t>
  </si>
  <si>
    <t>CCE - UServeUtah</t>
  </si>
  <si>
    <t>artsandmuseums.utah.gov</t>
  </si>
  <si>
    <t>museumsocialimpact.org</t>
  </si>
  <si>
    <t>https://library.utah.gov/</t>
  </si>
  <si>
    <t>Utah State Library Division | A Division of the Department of Cultural &amp; Community Engagement</t>
  </si>
  <si>
    <t>america250.utah.gov</t>
  </si>
  <si>
    <t>https://america250.utah.gov</t>
  </si>
  <si>
    <t>G-JM4TGYJ7Y3</t>
  </si>
  <si>
    <t>G-104CMG7MZ8</t>
  </si>
  <si>
    <t>CCE - America 250</t>
  </si>
  <si>
    <t>G-Z519DD5XXQ</t>
  </si>
  <si>
    <t>CCE - USL</t>
  </si>
  <si>
    <t xml:space="preserve">CCJJ - UOVC </t>
  </si>
  <si>
    <t>flag.utah.gov</t>
  </si>
  <si>
    <t>http://crimevictim.utah.gov/</t>
  </si>
  <si>
    <t>https://flag.utah.gov</t>
  </si>
  <si>
    <t>G-TJYRDR531R</t>
  </si>
  <si>
    <t>CCE - Flag</t>
  </si>
  <si>
    <t>historytogo.utah.gov</t>
  </si>
  <si>
    <t>CCJJ</t>
  </si>
  <si>
    <t>https://historytogo.utah.gov</t>
  </si>
  <si>
    <t>https://judicialvacancy.utah.gov/</t>
  </si>
  <si>
    <t>Judicial Review - Judicial Vacancy Home</t>
  </si>
  <si>
    <t>G-1Z3CWEGE6D</t>
  </si>
  <si>
    <t>CCE - HS - History To Go</t>
  </si>
  <si>
    <t>G-2NQRP84TH7</t>
  </si>
  <si>
    <t>G-PCZY0K8JQG, UA-52048446-2</t>
  </si>
  <si>
    <t>CCJJ - Judicial Vacancy</t>
  </si>
  <si>
    <t>ilovehistory.utah.gov</t>
  </si>
  <si>
    <t>https://ilovehistory.utah.gov</t>
  </si>
  <si>
    <t>G-TMNJHE73N5</t>
  </si>
  <si>
    <t>CCE - HS - ILoveHistory</t>
  </si>
  <si>
    <t>UDOT - Zero Fatalities - zerofatalities.com</t>
  </si>
  <si>
    <t>https://justice.utah.gov/</t>
  </si>
  <si>
    <t>Department of Criminal Justice</t>
  </si>
  <si>
    <t>indian.utah.gov</t>
  </si>
  <si>
    <t>Zero Fatalities - GA4</t>
  </si>
  <si>
    <t>https://zerofatalities.com</t>
  </si>
  <si>
    <t>G-9SLZ0P2YXT</t>
  </si>
  <si>
    <t>DOC - DCP, OCS, DRE</t>
  </si>
  <si>
    <t>http://dcp.utah.gov/</t>
  </si>
  <si>
    <t>CCJJ - Main Website</t>
  </si>
  <si>
    <t>cceintranet.utah.gov</t>
  </si>
  <si>
    <t>https://cceintranet.utah.gov</t>
  </si>
  <si>
    <t>G-6HVSGMMQCC</t>
  </si>
  <si>
    <t>CCE - Intranet</t>
  </si>
  <si>
    <t>https://justice.utah.gov/about-2/</t>
  </si>
  <si>
    <t>G-CVR3K81XQZ</t>
  </si>
  <si>
    <t>multicultural.utah.gov</t>
  </si>
  <si>
    <t>G-W74DBWG5TL</t>
  </si>
  <si>
    <t>Error (404)</t>
  </si>
  <si>
    <t>HTTP 404</t>
  </si>
  <si>
    <t>community.utah.gov</t>
  </si>
  <si>
    <t>https://justice.utah.gov/about-ccjj/extraditions/</t>
  </si>
  <si>
    <t>Extraditions | Department of Criminal Justice</t>
  </si>
  <si>
    <t>DEQ - Main Website</t>
  </si>
  <si>
    <t>deq.utah.gov - GA4</t>
  </si>
  <si>
    <t>https://deq.utah.gov</t>
  </si>
  <si>
    <t>LG - Elections - Disclosures</t>
  </si>
  <si>
    <t>http://disclosures.utah.gov</t>
  </si>
  <si>
    <t>ushpo.utah.gov</t>
  </si>
  <si>
    <t>https://justice.utah.gov/about-ccjj/judicial-nominating-commission/</t>
  </si>
  <si>
    <t>Judicial Nominating Commission | Department of Criminal Justice</t>
  </si>
  <si>
    <t>G-3BSQB369FR</t>
  </si>
  <si>
    <t>stem.utah.gov</t>
  </si>
  <si>
    <t>https://stem.utah.gov</t>
  </si>
  <si>
    <t>G-E8MH5K8MC9</t>
  </si>
  <si>
    <t>G-RRTEGT2P5N</t>
  </si>
  <si>
    <t>CCE - STEM Action Center</t>
  </si>
  <si>
    <t>https://justice.utah.gov/grants/</t>
  </si>
  <si>
    <t>Grants | Department of Criminal Justice</t>
  </si>
  <si>
    <t>thriving.utah.gov</t>
  </si>
  <si>
    <t>https://thriving.utah.gov</t>
  </si>
  <si>
    <t>G-SSVHPE2V3N</t>
  </si>
  <si>
    <t>CCE - Thriving</t>
  </si>
  <si>
    <t>userve.utah.gov</t>
  </si>
  <si>
    <t>https://justice.utah.gov/grants/federal-funding/</t>
  </si>
  <si>
    <t>Federal Funding | Department of Criminal Justice</t>
  </si>
  <si>
    <t>DHHS - Roll-up - All properties</t>
  </si>
  <si>
    <t>DEQ - DAQ - Monitoring App</t>
  </si>
  <si>
    <t>DHHS - DLBC - dlbc.utah.gov</t>
  </si>
  <si>
    <t>AQ Monitoring - GA4</t>
  </si>
  <si>
    <t>http://dlbc.utah.gov</t>
  </si>
  <si>
    <t>https://air.utah.gov</t>
  </si>
  <si>
    <t>G-Z8E586EN9V</t>
  </si>
  <si>
    <t>G-YTMMRM6RBF</t>
  </si>
  <si>
    <t>https://justice.utah.gov/grants/state-funding/</t>
  </si>
  <si>
    <t>library.utah.gov</t>
  </si>
  <si>
    <t>State Funding | Department of Criminal Justice</t>
  </si>
  <si>
    <t>https://justice.utah.gov/juvenile-justice/</t>
  </si>
  <si>
    <t>blindlibrary.utah.gov</t>
  </si>
  <si>
    <t>https://blindlibrary.utah.gov</t>
  </si>
  <si>
    <t>G-PRV75WKQB5</t>
  </si>
  <si>
    <t>CCE - USL - Blind Library</t>
  </si>
  <si>
    <t>bookmobiles.utah.gov</t>
  </si>
  <si>
    <t>https://bookmobiles.utah.gov</t>
  </si>
  <si>
    <t>G-XFH4MES09H</t>
  </si>
  <si>
    <t>DOC - DOPL</t>
  </si>
  <si>
    <t>http://dopl.utah.gov</t>
  </si>
  <si>
    <t>CCE - USL - Bookmobiles</t>
  </si>
  <si>
    <t>https://justice.utah.gov/research-and-reports/</t>
  </si>
  <si>
    <t>CCE - Community</t>
  </si>
  <si>
    <t>https://community.utah.gov</t>
  </si>
  <si>
    <t>G-62Q1EJNC45</t>
  </si>
  <si>
    <t>onlinelibrary.utah.gov</t>
  </si>
  <si>
    <t>https://onlinelibrary.utah.gov</t>
  </si>
  <si>
    <t>G-40EXDVLCF2</t>
  </si>
  <si>
    <t>CCE - USL - Online Library</t>
  </si>
  <si>
    <t>https://justice.utah.gov/sentencing/</t>
  </si>
  <si>
    <t>kidsreadytoread.utah.gov</t>
  </si>
  <si>
    <t>https://kidsreadytoread.utah.gov</t>
  </si>
  <si>
    <t>G-6GXE1KEPLD</t>
  </si>
  <si>
    <t>CCE - USL - UKRTR</t>
  </si>
  <si>
    <t>DOC</t>
  </si>
  <si>
    <t>https://secure.utah.gov/ce-public</t>
  </si>
  <si>
    <t>Continuing Education Courses - Construction Trades</t>
  </si>
  <si>
    <t>GTM-MRN3MSX</t>
  </si>
  <si>
    <t>https://justice.utah.gov/sentencing/eforms/</t>
  </si>
  <si>
    <t>eForms | Department of Criminal Justice</t>
  </si>
  <si>
    <t>G-0FTBJ6SDGY, G-ELDEEFYB93, G-PRL0QTE0VR, UA-103830962-19</t>
  </si>
  <si>
    <t>No</t>
  </si>
  <si>
    <t>Tag Firing but Not Found in State Analytics</t>
  </si>
  <si>
    <t>MISSING in Rollup</t>
  </si>
  <si>
    <t>DEQ - DAQ - Permitting App</t>
  </si>
  <si>
    <t>AQ Permitting - GA4</t>
  </si>
  <si>
    <t>https://daqpermitting.utah.gov</t>
  </si>
  <si>
    <t>DOC - DPU</t>
  </si>
  <si>
    <t>http://dpu.utah.gov</t>
  </si>
  <si>
    <t>DNR</t>
  </si>
  <si>
    <t xml:space="preserve">https://stateparks.utah.gov/ </t>
  </si>
  <si>
    <t>https://justice.utah.gov/sentencing/sentencing-and-release-guidelines/</t>
  </si>
  <si>
    <t>Utah State Parks</t>
  </si>
  <si>
    <t>stateparks.utah.gov</t>
  </si>
  <si>
    <t>https://stateparks.utah.gov/</t>
  </si>
  <si>
    <t>G-0GWVJH20M1</t>
  </si>
  <si>
    <t>G-4LRWV954FZ</t>
  </si>
  <si>
    <t>G-0HM105CNL9</t>
  </si>
  <si>
    <t>https://utahstateparks.reserveamerica.com/</t>
  </si>
  <si>
    <t>Campgrounds and Camping Reservations - Utah State Parks</t>
  </si>
  <si>
    <t>utahstateparks.reserveamerica.com</t>
  </si>
  <si>
    <t>https://crimevictim.utah.gov/grants/grant-solicitations/</t>
  </si>
  <si>
    <t>G-2ZRZCZ67C5, G-E8WQDE3S74</t>
  </si>
  <si>
    <t>CCJJ - UOVC</t>
  </si>
  <si>
    <t>safeathome.utah.gov</t>
  </si>
  <si>
    <t>https://safeathome.utah.gov</t>
  </si>
  <si>
    <t>DOC - Administration</t>
  </si>
  <si>
    <t>G-TBJYTHC8TF</t>
  </si>
  <si>
    <t>Commerce Administration</t>
  </si>
  <si>
    <t>CCJJ -  Safe at Home</t>
  </si>
  <si>
    <t>https://admin.commerce.utah.gov</t>
  </si>
  <si>
    <t>https://crimevictim.utah.gov/victim-financial-assistance/application-process/</t>
  </si>
  <si>
    <t>idc.utah.gov</t>
  </si>
  <si>
    <t>https://idc.utah.gov/</t>
  </si>
  <si>
    <t>G-ZFE1YPM72W</t>
  </si>
  <si>
    <t>CCJJ - IDC</t>
  </si>
  <si>
    <t>judicialvacancy.utah.gov</t>
  </si>
  <si>
    <t>DHHS - DSPD - dspd.utah.gov</t>
  </si>
  <si>
    <t>http://dspd.utah.gov</t>
  </si>
  <si>
    <t>G-XTZ95C217Z</t>
  </si>
  <si>
    <t>https://crimevictim.utah.gov/victim-rights/</t>
  </si>
  <si>
    <t>http://judicialvacancy.utah.gov/</t>
  </si>
  <si>
    <t>G-PCZY0K8JQG</t>
  </si>
  <si>
    <t>G-E5MRG90E2V</t>
  </si>
  <si>
    <t>justice.utah.gov</t>
  </si>
  <si>
    <t>DOC - Blog</t>
  </si>
  <si>
    <t>Commerce Blog</t>
  </si>
  <si>
    <t>https://blog.commerce.utah.gov</t>
  </si>
  <si>
    <t>DABS</t>
  </si>
  <si>
    <t>abs.utah.gov</t>
  </si>
  <si>
    <t>Utah DABS - Utah DABS</t>
  </si>
  <si>
    <t>https://abs.utah.gov</t>
  </si>
  <si>
    <t>GTM-5DQJR6SM</t>
  </si>
  <si>
    <t>G-X5QN659TK4</t>
  </si>
  <si>
    <t>DABS - Main Website</t>
  </si>
  <si>
    <t>G-E6HM2EH098</t>
  </si>
  <si>
    <t>Licensee Ordering Portal</t>
  </si>
  <si>
    <t>https://abs.utah.gov/licenses-permits/licensee-orders/</t>
  </si>
  <si>
    <t>No Original Link</t>
  </si>
  <si>
    <t>UDOT - Public Input</t>
  </si>
  <si>
    <t>Public Input</t>
  </si>
  <si>
    <t>https://udotinput.utah.gov</t>
  </si>
  <si>
    <t>DNR - All Websites</t>
  </si>
  <si>
    <t>DNR - DWR - Recreation access</t>
  </si>
  <si>
    <t>http://dwrapps.utah.gov/ram/start2, https://dwrapps.utah.gov/events</t>
  </si>
  <si>
    <t>G-11Y80DXQRJ, G-0GSTKZMBKS</t>
  </si>
  <si>
    <t>Licensing and Permitting System</t>
  </si>
  <si>
    <t>https://abs.utah.gov/licenses-permits/licensing-system/</t>
  </si>
  <si>
    <t>Manually found only G-0GSTKZMBKS</t>
  </si>
  <si>
    <t>G-SEPEV4BJYF</t>
  </si>
  <si>
    <t>Learning Portal (SABA)</t>
  </si>
  <si>
    <t>https://abs.utah.gov/licenses-permits/training/</t>
  </si>
  <si>
    <t>DNR - WRe - Opendata</t>
  </si>
  <si>
    <t>http://dwre-utahdnr.opendata.arcgis.com/</t>
  </si>
  <si>
    <t>Special Ordering Portal</t>
  </si>
  <si>
    <t>https://abs.utah.gov/shop-products/special-orders/</t>
  </si>
  <si>
    <t>Big Cottonwood Subdomain Tracking</t>
  </si>
  <si>
    <t>crimevictim.utah.gov</t>
  </si>
  <si>
    <t>https://udotinput.utah.gov/bccstudy</t>
  </si>
  <si>
    <t>G-HTG1PCPGHN</t>
  </si>
  <si>
    <t>G-57PBP09PTH</t>
  </si>
  <si>
    <t>Vendor Portal</t>
  </si>
  <si>
    <t>https://abs.utah.gov/vendors/vendor-portal/</t>
  </si>
  <si>
    <t>parentsempowered.org</t>
  </si>
  <si>
    <t>Parents Empowered</t>
  </si>
  <si>
    <t>https://parentsempowered.org</t>
  </si>
  <si>
    <t>GTM-53KZVQ</t>
  </si>
  <si>
    <t>G-3PPNCS7EKQ</t>
  </si>
  <si>
    <t>DGO - DHRM - Job Description Search</t>
  </si>
  <si>
    <t>Job Description Tool</t>
  </si>
  <si>
    <t>https://jobdesc.utah.gov</t>
  </si>
  <si>
    <t>CPB</t>
  </si>
  <si>
    <t>utahstatecapitol.utah.gov</t>
  </si>
  <si>
    <t>https://utahstatecapitol.utah.gov</t>
  </si>
  <si>
    <t>G-0TCMJHG46L</t>
  </si>
  <si>
    <t>CPB - Utah State Capitol</t>
  </si>
  <si>
    <t>LG - Election Results</t>
  </si>
  <si>
    <t>http://electionresults.utah.gov/</t>
  </si>
  <si>
    <t>G-N4CB7E1M9C</t>
  </si>
  <si>
    <t>CSRO</t>
  </si>
  <si>
    <t>csro.utah.gov</t>
  </si>
  <si>
    <t>https://csro.utah.gov</t>
  </si>
  <si>
    <t>G-RWZKPNR2NS</t>
  </si>
  <si>
    <t>CSRO - Career Service Review Office</t>
  </si>
  <si>
    <t>Product Locator</t>
  </si>
  <si>
    <t>https://webapps2.abc.utah.gov/ProdApps/ProductLocatorCore</t>
  </si>
  <si>
    <t>DPS - DEM - Be Ready Utah</t>
  </si>
  <si>
    <t>Be Ready Utah - G4</t>
  </si>
  <si>
    <t>G-MJKWT53WEH</t>
  </si>
  <si>
    <t>https://beready.utah.gov</t>
  </si>
  <si>
    <t>G-ZYGJ0ZWW6T</t>
  </si>
  <si>
    <t>Rare and High Demand Products Portal</t>
  </si>
  <si>
    <t>https://webapps2.abc.utah.gov/ProdApps/RareHighDemandProducts</t>
  </si>
  <si>
    <t>DPS - All Websites</t>
  </si>
  <si>
    <t>DPS - EMS</t>
  </si>
  <si>
    <t>http://ems.utah.gov</t>
  </si>
  <si>
    <t>GOEO - UOT</t>
  </si>
  <si>
    <t>Travel</t>
  </si>
  <si>
    <t>https://travel.utah.gov</t>
  </si>
  <si>
    <t>G-QT6PQS2CRD</t>
  </si>
  <si>
    <t>DEQ</t>
  </si>
  <si>
    <t>G-H382HLSCWL</t>
  </si>
  <si>
    <t>Large Animal Feeding Operations</t>
  </si>
  <si>
    <t>https://ag.utah.gov/conservation/animal-feeding-operations/</t>
  </si>
  <si>
    <t>Colorado River Authority</t>
  </si>
  <si>
    <t>https://cra.utah.gov</t>
  </si>
  <si>
    <t>G-X8DRQJS2B4</t>
  </si>
  <si>
    <t>DAF - Main Website</t>
  </si>
  <si>
    <t>webapps2.abc.utah.gov</t>
  </si>
  <si>
    <t>G-TNS1KCQCKR</t>
  </si>
  <si>
    <t>UDAF</t>
  </si>
  <si>
    <t>https://ag.utah.gov/industrialhempprogram/</t>
  </si>
  <si>
    <t>Industrial Hemp | Utah Department of Agriculture and Food</t>
  </si>
  <si>
    <t>USTC - Property Tax</t>
  </si>
  <si>
    <t>Property Tax</t>
  </si>
  <si>
    <t>https://propertytax.utah.gov</t>
  </si>
  <si>
    <t>DPS</t>
  </si>
  <si>
    <t>DNR - OED</t>
  </si>
  <si>
    <t>https://publicsafetyutah.govqa.us/WEBAPP/_rs/(S(zfixk5ebkudzdn0wyzgrv2jk))/SupportHome.aspx?&amp;lp=9</t>
  </si>
  <si>
    <t>http://energy.utah.gov</t>
  </si>
  <si>
    <t>Utah Department of Public Safety | Records Center</t>
  </si>
  <si>
    <t>publicsafetyutah.govqa.us</t>
  </si>
  <si>
    <t>urrt.utah.gov</t>
  </si>
  <si>
    <t>Utah Rapid Response Team</t>
  </si>
  <si>
    <t>G-4SLB68RYEV, UA-113043676-70</t>
  </si>
  <si>
    <t>https://urrt.utah.gov</t>
  </si>
  <si>
    <t>G-9B2BJX00ML</t>
  </si>
  <si>
    <t>G-8F73JSYN4N</t>
  </si>
  <si>
    <t>DAF - Rapid Response Team</t>
  </si>
  <si>
    <t>G-N3PVHRMHB2</t>
  </si>
  <si>
    <t>DWS</t>
  </si>
  <si>
    <t>https://apprenticeship.utah.gov/</t>
  </si>
  <si>
    <t>Apprenticeship Utah</t>
  </si>
  <si>
    <t>apprenticeship.utah.gov</t>
  </si>
  <si>
    <t>GTM-KX55V5Z</t>
  </si>
  <si>
    <t>G-4X6ZPD9YGM, G-DYDNPQ9XL9, G-TWBXD6XK81, G-W6262TT91C, UA-205159144-1</t>
  </si>
  <si>
    <t>DAF</t>
  </si>
  <si>
    <t>daqpermitting.utah.gov</t>
  </si>
  <si>
    <t>agritourism.utah.gov</t>
  </si>
  <si>
    <t>Air Quality Permitting Notices - Utah Department of Environmental Quality</t>
  </si>
  <si>
    <t>USTC - Income Tax</t>
  </si>
  <si>
    <t>https://agritourism.utah.gov</t>
  </si>
  <si>
    <t>Income Tax</t>
  </si>
  <si>
    <t>G-641NMCYKJH</t>
  </si>
  <si>
    <t>DAF - Agritourism</t>
  </si>
  <si>
    <t>www.brands.utah.gov</t>
  </si>
  <si>
    <t>https://www.brands.utah.gov</t>
  </si>
  <si>
    <t>GTM-54M499X</t>
  </si>
  <si>
    <t>G-XKPLLTDXFC</t>
  </si>
  <si>
    <t>DAF - Brands</t>
  </si>
  <si>
    <t>https://incometax.utah.gov</t>
  </si>
  <si>
    <t>sites.google.com</t>
  </si>
  <si>
    <t>https://sites.google.com/utah.gov/udaf-employee-resources</t>
  </si>
  <si>
    <t>G-W5FBS1DVWQ</t>
  </si>
  <si>
    <t>DAF - Employee Portal - https://sites.google.com/utah.gov/udaf-employee-resources</t>
  </si>
  <si>
    <t>producesafety.utah.gov</t>
  </si>
  <si>
    <t>https://producesafety.utah.gov</t>
  </si>
  <si>
    <t>G-RVQMKBL3TD</t>
  </si>
  <si>
    <t>DAF - Produce Safety</t>
  </si>
  <si>
    <t>deq.utah.gov</t>
  </si>
  <si>
    <t>Home - Utah Department of Environmental Quality</t>
  </si>
  <si>
    <t>utahsown.org</t>
  </si>
  <si>
    <t>http://utahsown.org</t>
  </si>
  <si>
    <t>G-HV8N1WHPD9</t>
  </si>
  <si>
    <t>DAF - Utah's Own</t>
  </si>
  <si>
    <t>GTM-P5KCN7V</t>
  </si>
  <si>
    <t>G-133ZMPSH9T</t>
  </si>
  <si>
    <t>ag.utah.gov</t>
  </si>
  <si>
    <t>DGO - All Websites</t>
  </si>
  <si>
    <t>DGO - Ethics</t>
  </si>
  <si>
    <t>http://ethics.utah.gov/</t>
  </si>
  <si>
    <t>Air Quality Complaint Form</t>
  </si>
  <si>
    <t>air.utah.gov</t>
  </si>
  <si>
    <t>https://deq.utah.gov/daq/air-quality-complaint-form</t>
  </si>
  <si>
    <t>G-F8VR9SLJYS</t>
  </si>
  <si>
    <t>USTC - MVED</t>
  </si>
  <si>
    <t>Air Quality Permitting</t>
  </si>
  <si>
    <t>MVED</t>
  </si>
  <si>
    <t>https://deq.utah.gov/daq/air-quality-permitting</t>
  </si>
  <si>
    <t>https://mved.utah.gov</t>
  </si>
  <si>
    <t>G-JKGLRDZJ3R</t>
  </si>
  <si>
    <t>DHHS - JJYS - jjys.utah.gov</t>
  </si>
  <si>
    <t>http://jjys.utah.gov</t>
  </si>
  <si>
    <t>General Permitting</t>
  </si>
  <si>
    <t>https://deq.utah.gov/daq/air-quality-permitting-general</t>
  </si>
  <si>
    <t>G-XC34LG48EN</t>
  </si>
  <si>
    <t>Lead and Asbestos certificaiton with local contractors</t>
  </si>
  <si>
    <t>https://deq.utah.gov/daq/asbestos</t>
  </si>
  <si>
    <t>USTC - DMV</t>
  </si>
  <si>
    <t>DMV</t>
  </si>
  <si>
    <t>https://dmv.utah.gov</t>
  </si>
  <si>
    <t>Air Quality Inventory Point Source</t>
  </si>
  <si>
    <t>https://deq.utah.gov/daq/point-source-emission-inventories</t>
  </si>
  <si>
    <t>G-9XR2NHJ0M1</t>
  </si>
  <si>
    <t>Air Quality Minor Source Compliance</t>
  </si>
  <si>
    <t>https://deq.utah.gov/daq/source-size-categories</t>
  </si>
  <si>
    <t>USTC - Main Website</t>
  </si>
  <si>
    <t>Tax</t>
  </si>
  <si>
    <t>Air Quality Major Source Compliance</t>
  </si>
  <si>
    <t>https://tax.utah.gov</t>
  </si>
  <si>
    <t>G-GVVFH83WVC</t>
  </si>
  <si>
    <t>Backflow Assembly Tester Certification Application</t>
  </si>
  <si>
    <t>https://deq.utah.gov/ddw/backflow-assembly-tester</t>
  </si>
  <si>
    <t>Renewals: Cross Connection Control Program Administrator</t>
  </si>
  <si>
    <t>https://deq.utah.gov/ddw/ccc-admin</t>
  </si>
  <si>
    <t>DNR - Main Website</t>
  </si>
  <si>
    <t>naturalresources.utah.gov GA4</t>
  </si>
  <si>
    <t>https://naturalresources.utah.gov</t>
  </si>
  <si>
    <t>New Certifications: Cross Connection Control Program Administrator</t>
  </si>
  <si>
    <t>Operator Hiring Center</t>
  </si>
  <si>
    <t>https://deq.utah.gov/ddw/operator-hiring-center</t>
  </si>
  <si>
    <t>http://justice.utah.gov/</t>
  </si>
  <si>
    <t>DDW Customer Survey [Sanitary Survey]</t>
  </si>
  <si>
    <t>https://deq.utah.gov/ddw/sanitary-surveys</t>
  </si>
  <si>
    <t>G-HMBG4GRZG5</t>
  </si>
  <si>
    <t>Air Quality Oil &amp; Gas Compliance</t>
  </si>
  <si>
    <t>https://deq.utah.gov/derr/derr-compliance</t>
  </si>
  <si>
    <t>Petroleum Storage Tanks</t>
  </si>
  <si>
    <t>https://deq.utah.gov/derr/pst</t>
  </si>
  <si>
    <t>Utah Flag</t>
  </si>
  <si>
    <t>Groundwater Protection</t>
  </si>
  <si>
    <t>https://deq.utah.gov/dwq/ground-water-permits</t>
  </si>
  <si>
    <t>CCE - All Public Websites</t>
  </si>
  <si>
    <t>UPDES Compliance Assistance</t>
  </si>
  <si>
    <t>http://library.utah.gov</t>
  </si>
  <si>
    <t>https://deq.utah.gov/dwq/uic-assistance</t>
  </si>
  <si>
    <t>Individual Permitting</t>
  </si>
  <si>
    <t>https://deq.utah.gov/dwq/water-quality-permitting</t>
  </si>
  <si>
    <t>DPS - myDPS (Intranet)</t>
  </si>
  <si>
    <t>myDPS Intranet</t>
  </si>
  <si>
    <t>https://mydps.utah.gov</t>
  </si>
  <si>
    <t>Wastewater Certification</t>
  </si>
  <si>
    <t>https://deq.utah.gov/dwq/ww-opcert</t>
  </si>
  <si>
    <t>UDOT</t>
  </si>
  <si>
    <t>G-JHF9894CNE</t>
  </si>
  <si>
    <t>travelwise.utah.gov</t>
  </si>
  <si>
    <t>TravelWise | Rethink your trip</t>
  </si>
  <si>
    <t>https://travelwise.utah.gov</t>
  </si>
  <si>
    <t>GTM-WDSB72</t>
  </si>
  <si>
    <t>G-67D0RYH8C3, UA-6111789-1</t>
  </si>
  <si>
    <t>DPS - DEM - Flood</t>
  </si>
  <si>
    <t>Utah Flood Hazards</t>
  </si>
  <si>
    <t>https://floodhazards.utah.gov</t>
  </si>
  <si>
    <t>UDC</t>
  </si>
  <si>
    <t>https://public.powerdms.com/UtahDOC/tree</t>
  </si>
  <si>
    <t>PowerDMS</t>
  </si>
  <si>
    <t>public.powerdms.com</t>
  </si>
  <si>
    <t>G-7X1DXZG51H</t>
  </si>
  <si>
    <t>G-1L7F4BQRBN</t>
  </si>
  <si>
    <t>enviro.deq.utah.gov/</t>
  </si>
  <si>
    <t>Utah DEQ Environmental Interactive Map</t>
  </si>
  <si>
    <t>enviro.deq.utah.gov</t>
  </si>
  <si>
    <t>https://enviro.deq.utah.gov</t>
  </si>
  <si>
    <t>GTM-NVRFHM3</t>
  </si>
  <si>
    <t>G-86JW86154S</t>
  </si>
  <si>
    <t>DHHS - IH - coveringkids.utah.gov</t>
  </si>
  <si>
    <t>coveringkids.utah.gov</t>
  </si>
  <si>
    <t>https://secure.utah.gov/dlr/</t>
  </si>
  <si>
    <t>Drivers License Renewal</t>
  </si>
  <si>
    <t>G-9F8YWZGYFH, G-ELDEEFYB93, UA-103830962-1, UA-15325774-15, UA-15325774-38</t>
  </si>
  <si>
    <t>ridetolive.utah.gov</t>
  </si>
  <si>
    <t>Ride to Live Utah</t>
  </si>
  <si>
    <t>https://ridetolive.utah.gov</t>
  </si>
  <si>
    <t>GTM-K9GJ797, GTM-PHJ55X4C</t>
  </si>
  <si>
    <t>G-9ZT6J64779, G-L91D79VZRZ, UA-137182731-1</t>
  </si>
  <si>
    <t>https://coveringkids.utah.gov</t>
  </si>
  <si>
    <t>LG - Notary WP</t>
  </si>
  <si>
    <t>http://notary.utah.gov</t>
  </si>
  <si>
    <t>https://utah-fire-info-utahdnr.hub.arcgis.com/</t>
  </si>
  <si>
    <t>Utah Fire Info</t>
  </si>
  <si>
    <t>utah-fire-info-utahdnr.hub.arcgis.com</t>
  </si>
  <si>
    <t>G-C6TR601C60</t>
  </si>
  <si>
    <t>G-DV5RCJSDHS</t>
  </si>
  <si>
    <t>https://www.accesscorrections.com/</t>
  </si>
  <si>
    <t>Access Corrections</t>
  </si>
  <si>
    <t>accesscorrections.com</t>
  </si>
  <si>
    <t>GTM-K2RJ9LVS</t>
  </si>
  <si>
    <t>G-DRPBNHRC58, G-M9SSHK8ZP3</t>
  </si>
  <si>
    <t>G-XDWJGGX4J4</t>
  </si>
  <si>
    <t>https://jobs.utah.gov/ccprov-app/ui/</t>
  </si>
  <si>
    <t>No Title Tag Found</t>
  </si>
  <si>
    <t>jobs.utah.gov</t>
  </si>
  <si>
    <t>G-DYDNPQ9XL9</t>
  </si>
  <si>
    <t>jobs.utah.gov/employer</t>
  </si>
  <si>
    <t>GOPB - Performance</t>
  </si>
  <si>
    <t>Employer</t>
  </si>
  <si>
    <t>Performance website</t>
  </si>
  <si>
    <t>https://performance.utah.gov</t>
  </si>
  <si>
    <t>https://jobs.utah.gov/employer</t>
  </si>
  <si>
    <t>GTM-PL8ZV9W</t>
  </si>
  <si>
    <t>G-T36HX70PDQ</t>
  </si>
  <si>
    <t>DOC - Property Rights</t>
  </si>
  <si>
    <t>http://propertyrights.utah.gov</t>
  </si>
  <si>
    <t>jobs.utah.gov/housing</t>
  </si>
  <si>
    <t>Housing and Community Development</t>
  </si>
  <si>
    <t>https://jobs.utah.gov/housing</t>
  </si>
  <si>
    <t>GOPB - Budget Builder</t>
  </si>
  <si>
    <t>Budget Builder</t>
  </si>
  <si>
    <t>https://budgetprep.utah.gov</t>
  </si>
  <si>
    <t>DFI</t>
  </si>
  <si>
    <t>https://dfi.utah.gov/</t>
  </si>
  <si>
    <t>Utah Department of Financial Institutions</t>
  </si>
  <si>
    <t>dfi.utah.gov</t>
  </si>
  <si>
    <t>G-5QSCPJ8N22</t>
  </si>
  <si>
    <t>G-3WLQ5C35DW</t>
  </si>
  <si>
    <t>DFI - Main website</t>
  </si>
  <si>
    <t>G-V49ZZD3HCR</t>
  </si>
  <si>
    <t>DGO</t>
  </si>
  <si>
    <t>secured.utah.gov</t>
  </si>
  <si>
    <t>https://secured.utah.gov/ut-archives/Forms/Page/ut-archives/orp/1</t>
  </si>
  <si>
    <t>G-JM7SX28HHB</t>
  </si>
  <si>
    <t>UID - Main Website</t>
  </si>
  <si>
    <t>DGO - DARS - Open Records Portal</t>
  </si>
  <si>
    <t>http://www.insurance.utah.gov - GA4</t>
  </si>
  <si>
    <t>http://www.insurance.utah.gov</t>
  </si>
  <si>
    <t>archives.utah.gov</t>
  </si>
  <si>
    <t>Utah Division of Archives and Records Service</t>
  </si>
  <si>
    <t>https://archives.utah.gov</t>
  </si>
  <si>
    <t>GTM-MSNV2MMM</t>
  </si>
  <si>
    <t>G-LCDV67YMH0, G-YGCRKVWVNN</t>
  </si>
  <si>
    <t>DGO - DARS Archives</t>
  </si>
  <si>
    <t>G-TW22GBJKFH</t>
  </si>
  <si>
    <t>G-YGCRKVWVNN</t>
  </si>
  <si>
    <t>OLDER DUPLICATE UID - Main Website</t>
  </si>
  <si>
    <t>Insurance Transparency - GA4</t>
  </si>
  <si>
    <t>http://itdb.utah.gov</t>
  </si>
  <si>
    <t>dfcm.utah.gov</t>
  </si>
  <si>
    <t>Division of Facilities Construction &amp; Management</t>
  </si>
  <si>
    <t>https://dfcm.utah.gov</t>
  </si>
  <si>
    <t>GTM-TMKQPNQT</t>
  </si>
  <si>
    <t>G-LCDV67YMH0, G-X7JN19E1P8</t>
  </si>
  <si>
    <t>DGO - DFCM</t>
  </si>
  <si>
    <t>G-ZXGF79T9W0</t>
  </si>
  <si>
    <t>G-X7JN19E1P8</t>
  </si>
  <si>
    <t>fleet.utah.gov</t>
  </si>
  <si>
    <t>Division of Fleet Operations | Division of Fleet Operations</t>
  </si>
  <si>
    <t>Public Service Commission</t>
  </si>
  <si>
    <t>https://fleet.utah.gov</t>
  </si>
  <si>
    <t>http://psc.utah.gov</t>
  </si>
  <si>
    <t>GTM-W4Z3JVWF</t>
  </si>
  <si>
    <t>G-HL2ZC77NLB, G-LCDV67YMH0</t>
  </si>
  <si>
    <t>DGO - DFO</t>
  </si>
  <si>
    <t>ILoveHistory</t>
  </si>
  <si>
    <t>G-9TW99R09Z6</t>
  </si>
  <si>
    <t>G-HL2ZC77NLB</t>
  </si>
  <si>
    <t>DNR - PLPCO - RDCC</t>
  </si>
  <si>
    <t>http://rdcc.utah.gov</t>
  </si>
  <si>
    <t>DHHS - ORS - ors.utah.gov</t>
  </si>
  <si>
    <t>ors.utah.gov</t>
  </si>
  <si>
    <t>dhrm.utah.gov</t>
  </si>
  <si>
    <t>Division of Human Resource Management | Working together for a better Utah</t>
  </si>
  <si>
    <t>https://dhrm.utah.gov</t>
  </si>
  <si>
    <t>GTM-W546X56X</t>
  </si>
  <si>
    <t>G-DQLJWFSR8W, G-LCDV67YMH0</t>
  </si>
  <si>
    <t>DGO - DHRM</t>
  </si>
  <si>
    <t>https://ors.utah.gov</t>
  </si>
  <si>
    <t>G-XXNVVXY1GX</t>
  </si>
  <si>
    <t>G-DQLJWFSR8W</t>
  </si>
  <si>
    <t>G-72BZ64841P</t>
  </si>
  <si>
    <t>dhrmemployee.utah.gov</t>
  </si>
  <si>
    <t>https://dhrmemployee.utah.gov</t>
  </si>
  <si>
    <t>G-F5C4CN6WEF</t>
  </si>
  <si>
    <t>DGO - DHRM - DHRM Employee</t>
  </si>
  <si>
    <t>gateway.utah.gov</t>
  </si>
  <si>
    <t>https://gateway.utah.gov</t>
  </si>
  <si>
    <t>DHHS - DPH - appletree.utah.gov</t>
  </si>
  <si>
    <t>G-5S6VBKNTH9</t>
  </si>
  <si>
    <t>appletree.utah.gov</t>
  </si>
  <si>
    <t>DGO - DHRM - Gateway</t>
  </si>
  <si>
    <t>hris.utah.gov</t>
  </si>
  <si>
    <t>https://hris.utah.gov</t>
  </si>
  <si>
    <t>G-QFXPBHP83V</t>
  </si>
  <si>
    <t>DGO - DHRM - HRIS</t>
  </si>
  <si>
    <t>https://appletree.utah.gov</t>
  </si>
  <si>
    <t>jobdesc.utah.gov</t>
  </si>
  <si>
    <t>Job Description Search</t>
  </si>
  <si>
    <t>DOC - DRE</t>
  </si>
  <si>
    <t>http://realestate.utah.gov</t>
  </si>
  <si>
    <t>offeracceptance.utah.gov</t>
  </si>
  <si>
    <t>G-ZTGPLFTT4X</t>
  </si>
  <si>
    <t>G-06YSG6T5XJ</t>
  </si>
  <si>
    <t>purchasing.utah.gov</t>
  </si>
  <si>
    <t>Division of Purchasing and General Services</t>
  </si>
  <si>
    <t>https://purchasing.utah.gov</t>
  </si>
  <si>
    <t>GTM-PHGWTJVS</t>
  </si>
  <si>
    <t>G-GQ4MYHDMV7, G-LCDV67YMH0</t>
  </si>
  <si>
    <t>DGO - DPGS</t>
  </si>
  <si>
    <t>DHHS - DPH - OHE - healthequity.utah.gov</t>
  </si>
  <si>
    <t>G-GQ4MYHDMV7</t>
  </si>
  <si>
    <t>healthequity.utah.gov/</t>
  </si>
  <si>
    <t>risk.utah.gov</t>
  </si>
  <si>
    <t>Division of Risk Management</t>
  </si>
  <si>
    <t>https://risk.utah.gov</t>
  </si>
  <si>
    <t>GTM-WRJ32XTD</t>
  </si>
  <si>
    <t>G-LCDV67YMH0, G-QP2SHHKWVK</t>
  </si>
  <si>
    <t>DGO - DRM</t>
  </si>
  <si>
    <t>DPS - Search and Rescue</t>
  </si>
  <si>
    <t>http://rescue.utah.gov</t>
  </si>
  <si>
    <t>G-QP2SHHKWVK</t>
  </si>
  <si>
    <t>dts.utah.gov</t>
  </si>
  <si>
    <t>Division of Technology Services</t>
  </si>
  <si>
    <t>https://healthequity.utah.gov</t>
  </si>
  <si>
    <t>G-0H0Z4R3CBF</t>
  </si>
  <si>
    <t>https://dts.utah.gov</t>
  </si>
  <si>
    <t>GTM-PBK2TXFX</t>
  </si>
  <si>
    <t>G-J5CFQ0YBXN, G-LCDV67YMH0</t>
  </si>
  <si>
    <t>DGO - DTS</t>
  </si>
  <si>
    <t>finance.utah.gov</t>
  </si>
  <si>
    <t>Division of Finance</t>
  </si>
  <si>
    <t>G-R840YB1ELD</t>
  </si>
  <si>
    <t>G-J5CFQ0YBXN</t>
  </si>
  <si>
    <t>https://finance.utah.gov</t>
  </si>
  <si>
    <t>GTM-TVHM3BCV</t>
  </si>
  <si>
    <t>G-6WSH2Z0GH2, G-LCDV67YMH0</t>
  </si>
  <si>
    <t>DGO - Finance</t>
  </si>
  <si>
    <t>designsystem.utah.gov</t>
  </si>
  <si>
    <t>https://designsystem.utah.gov</t>
  </si>
  <si>
    <t>G-ZNWH25D8F4</t>
  </si>
  <si>
    <t>DGO - DTS - Design System</t>
  </si>
  <si>
    <t>SAP Concur</t>
  </si>
  <si>
    <t>https://finance.utah.gov/travel-and-p-card/log-into-concur/</t>
  </si>
  <si>
    <t>DPS - UHP - joinuhp</t>
  </si>
  <si>
    <t>joinuhp</t>
  </si>
  <si>
    <t>https://joinuhp.utah.gov</t>
  </si>
  <si>
    <t>opendata.utah.gov</t>
  </si>
  <si>
    <t>https://opendata.utah.gov/</t>
  </si>
  <si>
    <t>DOC - DOPL - Continuing Education</t>
  </si>
  <si>
    <t>G-DMY6RELRGJ</t>
  </si>
  <si>
    <t>http://secure.utah.gov/ce-public/index.html</t>
  </si>
  <si>
    <t>DGO - DTS - Open Data Portal</t>
  </si>
  <si>
    <t>ethics.utah.gov</t>
  </si>
  <si>
    <t>G-9NEZY6BE15</t>
  </si>
  <si>
    <t>G-F5H81E0JDY</t>
  </si>
  <si>
    <t>govops.utah.gov</t>
  </si>
  <si>
    <t>Department of Government Operations</t>
  </si>
  <si>
    <t>https://govops.utah.gov</t>
  </si>
  <si>
    <t>GTM-TWRVDPGX</t>
  </si>
  <si>
    <t>G-G8NLKD6M0E, G-LCDV67YMH0</t>
  </si>
  <si>
    <t>DGO - Main Website</t>
  </si>
  <si>
    <t>UDOT - Employee Resources - Internal</t>
  </si>
  <si>
    <t>Employee Resources - Internal</t>
  </si>
  <si>
    <t>https://sites.google.com/utah.gov/udotemployeeresources/</t>
  </si>
  <si>
    <t>rules.utah.gov</t>
  </si>
  <si>
    <t>Office of Administrative Rules</t>
  </si>
  <si>
    <t>https://rules.utah.gov</t>
  </si>
  <si>
    <t>GTM-PWKDN9QN</t>
  </si>
  <si>
    <t>G-LCDV67YMH0, G-TQH1CNGHRR</t>
  </si>
  <si>
    <t>DGO - OAR</t>
  </si>
  <si>
    <t>G-6WSH2Z0GH2</t>
  </si>
  <si>
    <t>G-HEG3J4R7FR</t>
  </si>
  <si>
    <t>DPS - Personal Driving Record</t>
  </si>
  <si>
    <t>http://secure.utah.gov/mvr-personal/</t>
  </si>
  <si>
    <t>employee.govops.utah.gov</t>
  </si>
  <si>
    <t>https://employee.govops.utah.gov</t>
  </si>
  <si>
    <t>G-XWR3JSMS37</t>
  </si>
  <si>
    <t>DGO - Intranet</t>
  </si>
  <si>
    <t>DHHS</t>
  </si>
  <si>
    <t>daas.utah.gov</t>
  </si>
  <si>
    <t>G-0FQ0WJFZ5D</t>
  </si>
  <si>
    <t>Aging &amp; Adult Services – Utah DHHS | Services for Utah's Aging Adults</t>
  </si>
  <si>
    <t>https://daas.utah.gov</t>
  </si>
  <si>
    <t>GTM-P334MTZ9</t>
  </si>
  <si>
    <t>G-N8LE1HBTT1</t>
  </si>
  <si>
    <t>DHHS - DAAS - daas.utah.gov</t>
  </si>
  <si>
    <t>G-G8NLKD6M0E</t>
  </si>
  <si>
    <t>dcfs.utah.gov</t>
  </si>
  <si>
    <t>Child and Family Services – Utah DHHS | Strengthening families. Protecting 
children.</t>
  </si>
  <si>
    <t>VMA - Main Website</t>
  </si>
  <si>
    <t>https://dcfs.utah.gov</t>
  </si>
  <si>
    <t>GTM-N6825ZM7</t>
  </si>
  <si>
    <t>G-WBTLVBKJKV</t>
  </si>
  <si>
    <t>DHHS - DCFS - dcfs.utah.gov</t>
  </si>
  <si>
    <t>Veterans' and Military Affairs - GA4</t>
  </si>
  <si>
    <t>http://veterans.utah.gov</t>
  </si>
  <si>
    <t>familyhealth.utah.gov</t>
  </si>
  <si>
    <t>G-TQH1CNGHRR</t>
  </si>
  <si>
    <t>Division of Family Health – Utah DHHS</t>
  </si>
  <si>
    <t>https://familyhealth.utah.gov</t>
  </si>
  <si>
    <t>GTM-P48S3973</t>
  </si>
  <si>
    <t>G-E9MV39ZQB9</t>
  </si>
  <si>
    <t>DHHS - DFH - familyhealth.utah.gov</t>
  </si>
  <si>
    <t>privacy.utah.gov</t>
  </si>
  <si>
    <t>https://privacy.utah.gov/</t>
  </si>
  <si>
    <t>G-3B4M8QP23T</t>
  </si>
  <si>
    <t>G-89LCCRVPJG</t>
  </si>
  <si>
    <t>DGO - ODP</t>
  </si>
  <si>
    <t>USTC - DMV - REX - Temporary Permits</t>
  </si>
  <si>
    <t>http://secure.utah.gov/temp-permits/index.html</t>
  </si>
  <si>
    <t>sedi.utah.gov</t>
  </si>
  <si>
    <t>mihp.utah.gov</t>
  </si>
  <si>
    <t>https://sedi.utah.gov/</t>
  </si>
  <si>
    <t>Maternal and Infant Health Program | Utah Department of Health and Human 
Services</t>
  </si>
  <si>
    <t>G-X93751YFLW</t>
  </si>
  <si>
    <t>G-7S1739WMT6</t>
  </si>
  <si>
    <t>DGO - ODP - SEDI - sedi.utah.gov</t>
  </si>
  <si>
    <t>https://mihp.utah.gov</t>
  </si>
  <si>
    <t>GTM-WHHK8Z5N</t>
  </si>
  <si>
    <t>G-2TKZEJVEDJ</t>
  </si>
  <si>
    <t>DHHS - DFH - mihp.utah.gov</t>
  </si>
  <si>
    <t>statecontracts.utah.gov</t>
  </si>
  <si>
    <t>http://statecontracts.utah.gov</t>
  </si>
  <si>
    <t>G-SM6TBJCTR7</t>
  </si>
  <si>
    <t>DGO - State Contract Search</t>
  </si>
  <si>
    <t>DOC - SEC</t>
  </si>
  <si>
    <t>catchtheanswers.utah.gov</t>
  </si>
  <si>
    <t>http://securities.utah.gov</t>
  </si>
  <si>
    <t>DNR - WRe - drought.utah.gov</t>
  </si>
  <si>
    <t>Catch the Answers – Utah DHHS</t>
  </si>
  <si>
    <t>employees.utah.gov</t>
  </si>
  <si>
    <t>https://employees.utah.gov</t>
  </si>
  <si>
    <t>G-D6DYTMFG8V</t>
  </si>
  <si>
    <t>drought.utah.gov</t>
  </si>
  <si>
    <t>DGO - State Employee</t>
  </si>
  <si>
    <t>https://catchtheanswers.utah.gov</t>
  </si>
  <si>
    <t>GTM-PJB3VXNQ</t>
  </si>
  <si>
    <t>G-9LZTVSQTQD</t>
  </si>
  <si>
    <t>DHHS - DPH - catchtheanswers.utah.gov</t>
  </si>
  <si>
    <t>G-NNT9SB84CV</t>
  </si>
  <si>
    <t>vantage.employee.utah.gov</t>
  </si>
  <si>
    <t>https://vantage.employee.utah.gov</t>
  </si>
  <si>
    <t>G-F8Z8EHQ7CZ</t>
  </si>
  <si>
    <t>DGO - Vantage Employee</t>
  </si>
  <si>
    <t>epi.utah.gov</t>
  </si>
  <si>
    <t>Communicable Diseases – Utah DHHS</t>
  </si>
  <si>
    <t>jobs.utah.gov/jobseeker</t>
  </si>
  <si>
    <t>https://epi.utah.gov</t>
  </si>
  <si>
    <t>Job Seekers</t>
  </si>
  <si>
    <t>GTM-PVL4V6MH</t>
  </si>
  <si>
    <t>G-9B7PL789LT</t>
  </si>
  <si>
    <t>DHHS - DPH - epi.utah.gov</t>
  </si>
  <si>
    <t>https://jobs.utah.gov/jobseeker</t>
  </si>
  <si>
    <t>https://heal.utah.gov/</t>
  </si>
  <si>
    <t>Healthy Environments Active Living (HEAL) – Utah DHHS | Building Stronger, Healthier Communities</t>
  </si>
  <si>
    <t>GTM-KTS4QSJ, GTM-N2BTHBBD</t>
  </si>
  <si>
    <t>G-2KFRFEPXMJ</t>
  </si>
  <si>
    <t>DHHS - DPH - heal.utah.gov</t>
  </si>
  <si>
    <t>jobs.utah.gov/mycase</t>
  </si>
  <si>
    <t>https://jobs.utah.gov/mycase</t>
  </si>
  <si>
    <t>healthyaging.utah.gov</t>
  </si>
  <si>
    <t>Healthy Aging Program – Utah DHHS</t>
  </si>
  <si>
    <t>https://healthyaging.utah.gov</t>
  </si>
  <si>
    <t>https://drought.utah.gov</t>
  </si>
  <si>
    <t>GTM-NF3DLWTG</t>
  </si>
  <si>
    <t>G-1C1QS7FEYT</t>
  </si>
  <si>
    <t>DHHS - DPH - Health Aging - healthyaging.utah.gov</t>
  </si>
  <si>
    <t>jobs.utah.gov/refugee</t>
  </si>
  <si>
    <t>Refugee Services</t>
  </si>
  <si>
    <t>https://jobs.utah.gov/refugee</t>
  </si>
  <si>
    <t>jobs.utah.gov/ui</t>
  </si>
  <si>
    <t>Unemployment Insurance</t>
  </si>
  <si>
    <t>hivandme.com</t>
  </si>
  <si>
    <t>G-JP6HZY7H67</t>
  </si>
  <si>
    <t>Hiv and Me</t>
  </si>
  <si>
    <t>https://jobs.utah.gov/ui</t>
  </si>
  <si>
    <t>https://hivandme.com</t>
  </si>
  <si>
    <t>GTM-M3SZ8NG, GTM-MZV2K26H</t>
  </si>
  <si>
    <t>G-7J459WBCKX, G-7NCZGBW67T, UA-154674898-1</t>
  </si>
  <si>
    <t>DHHS - DPH - hivandme.com</t>
  </si>
  <si>
    <t>jobs.utah.gov/usor</t>
  </si>
  <si>
    <t>Utah State Office of Rehabilitation</t>
  </si>
  <si>
    <t>https://jobs.utah.gov/usor</t>
  </si>
  <si>
    <t>immunize.utah.gov</t>
  </si>
  <si>
    <t>Immunize | Utah Department of Health and Human Services</t>
  </si>
  <si>
    <t>DHHS - DPH - opidemic.utah.gov</t>
  </si>
  <si>
    <t>https://immunize.utah.gov</t>
  </si>
  <si>
    <t>GTM-589S362, GTM-KB47DSZ8</t>
  </si>
  <si>
    <t>jobs.utah.gov/wi</t>
  </si>
  <si>
    <t>G-MTYSY93RJ5</t>
  </si>
  <si>
    <t>Economic Data Landing Page</t>
  </si>
  <si>
    <t>DHHS - DPH - immunize.utah.gov</t>
  </si>
  <si>
    <t>opidemic.utah.gov</t>
  </si>
  <si>
    <t>https://jobs.utah.gov/wi</t>
  </si>
  <si>
    <t>https://www.utahmapstore.com</t>
  </si>
  <si>
    <t>Natural Resources Map &amp; Bookstore – The Natural Resources Map &amp; Bookstore</t>
  </si>
  <si>
    <t>https://opidemic.utah.gov</t>
  </si>
  <si>
    <t>utahmapstore.com</t>
  </si>
  <si>
    <t>GTM-NF7LL2Q</t>
  </si>
  <si>
    <t>G-E340LM0429</t>
  </si>
  <si>
    <t>http://healthequity.utah.gov/</t>
  </si>
  <si>
    <t>Office of Health Equity | Utah Department of Health and Human Services</t>
  </si>
  <si>
    <t>cottonwoodcanyons.udot.utah.gov</t>
  </si>
  <si>
    <t>Home - Cottonwood Canyons - Roads to Recreation</t>
  </si>
  <si>
    <t>https://cottonwoodcanyons.udot.utah.gov</t>
  </si>
  <si>
    <t>GTM-NV6GT69F</t>
  </si>
  <si>
    <t>G-E7DE196ZDT</t>
  </si>
  <si>
    <t>https://secure.utah.gov/ce-provider</t>
  </si>
  <si>
    <t>Log in with Your Utah.gov Account | Account Management | Utah.gov</t>
  </si>
  <si>
    <t>G-1RZ7WKZL6P</t>
  </si>
  <si>
    <t>G-ELDEEFYB93, G-NQPSEQJFS6, G-PRL0QTE0VR, UA-103830962-19, UA-15325774-11</t>
  </si>
  <si>
    <t>Stop the Opidemic | Utah Department of Health and Human Services</t>
  </si>
  <si>
    <t>https://secure.utah.gov/account/login.html</t>
  </si>
  <si>
    <t>GTM-559D2B3T</t>
  </si>
  <si>
    <t>https://secure.utah.gov/doplrenewal</t>
  </si>
  <si>
    <t>DABS WordPress Site</t>
  </si>
  <si>
    <t>G-ELDEEFYB93, G-VKFVYQLH65, UA-103830962-9, UA-827740-13</t>
  </si>
  <si>
    <t>https://abs.utah.gov/</t>
  </si>
  <si>
    <t>https://ruralhealth.utah.gov/</t>
  </si>
  <si>
    <t>PCRH | Primary Care and Rural Health Website</t>
  </si>
  <si>
    <t>coronavirus.utah.gov</t>
  </si>
  <si>
    <t>https://coronavirus.utah.gov</t>
  </si>
  <si>
    <t>GTM-KQVKGS38</t>
  </si>
  <si>
    <t>G-6P4NJPBHCY</t>
  </si>
  <si>
    <t>G-MTBMK34DQC</t>
  </si>
  <si>
    <t>DNR - DWR - STDoftheSEA</t>
  </si>
  <si>
    <t>DHHS - [RETIRED] coronavirus.utah.gov</t>
  </si>
  <si>
    <t>DHHS - DPH - Primary Care &amp; Rural Health - ruralhealth.utah.gov</t>
  </si>
  <si>
    <t>http://stdofthesea.utah.gov</t>
  </si>
  <si>
    <t>G-YSBT6X8DV2</t>
  </si>
  <si>
    <t>cancer.utah.gov</t>
  </si>
  <si>
    <t>Utah Cancer Programs – Utah DHHS</t>
  </si>
  <si>
    <t>dementia.utah.gov</t>
  </si>
  <si>
    <t>https://dementia.utah.gov</t>
  </si>
  <si>
    <t>https://cancer.utah.gov</t>
  </si>
  <si>
    <t>GTM-NRL6MGJJ</t>
  </si>
  <si>
    <t>G-27FQZQKJDB</t>
  </si>
  <si>
    <t>G-8FMRJYPHD8, G-E9MV39ZQB9</t>
  </si>
  <si>
    <t>DHHS - DPH - UBCCP - cancer.utah.gov | DHHS - DFH - familyhealth.utah.gov</t>
  </si>
  <si>
    <t>DHHS - DAAS - dementia.utah.gov</t>
  </si>
  <si>
    <t>leaps.dhhs.utah.gov</t>
  </si>
  <si>
    <t>https://leaps.dhhs.utah.gov</t>
  </si>
  <si>
    <t>G-DMEN06W0CY</t>
  </si>
  <si>
    <t>DHHS - IH - Healthy Minds - healthyminds.utah.gov</t>
  </si>
  <si>
    <t>DHHS - DAAS - leaps.dhhs.utah.gov</t>
  </si>
  <si>
    <t>healthyminds.utah.gov</t>
  </si>
  <si>
    <t>vipp.utah.gov</t>
  </si>
  <si>
    <t>Violence and Injury Prevention Program | Utah Department of Health and 
Human Services</t>
  </si>
  <si>
    <t>https://vipp.utah.gov</t>
  </si>
  <si>
    <t>GTM-5F6RHQCW</t>
  </si>
  <si>
    <t>G-EMEVFXJLLG</t>
  </si>
  <si>
    <t>DHHS - DPH - vipp.utah.gov</t>
  </si>
  <si>
    <t>adolescenthealth.utah.gov</t>
  </si>
  <si>
    <t>https://adolescenthealth.utah.gov</t>
  </si>
  <si>
    <t>G-8B11ZKP6V6</t>
  </si>
  <si>
    <t>DHHS - DFH - adolescenthealth.utah.gov</t>
  </si>
  <si>
    <t>adoptionregistry.utah.gov</t>
  </si>
  <si>
    <t>Adoption Registry | Utah Department of Health and Human Services</t>
  </si>
  <si>
    <t>https://healthyminds.utah.gov</t>
  </si>
  <si>
    <t>DHHS - UPHL - uphl.utah.gov</t>
  </si>
  <si>
    <t>http://uphl.utah.gov/</t>
  </si>
  <si>
    <t>earlychildhood.utah.gov</t>
  </si>
  <si>
    <t>https://adoptionregistry.utah.gov</t>
  </si>
  <si>
    <t>https://earlychildhood.utah.gov</t>
  </si>
  <si>
    <t>GTM-T6NRNNLS</t>
  </si>
  <si>
    <t>G-XPJDC0ZQX5</t>
  </si>
  <si>
    <t>DHHS - DSE - Adoption Registry</t>
  </si>
  <si>
    <t>G-8D5R689ZX2</t>
  </si>
  <si>
    <t>DHHS - DFH - Early Childhood - earlychildhood.utah.gov</t>
  </si>
  <si>
    <t>G-BWSP63S872</t>
  </si>
  <si>
    <t>healthassessment.utah.gov</t>
  </si>
  <si>
    <t>Survey and Health Assessment Programs – Utah DHHS | Office of Research and 
Evaluation</t>
  </si>
  <si>
    <t>https://healthassessment.utah.gov</t>
  </si>
  <si>
    <t>G-JKJD7FDXHR</t>
  </si>
  <si>
    <t>GTM-MLBNFVQM</t>
  </si>
  <si>
    <t>G-VB62NHJTDS</t>
  </si>
  <si>
    <t>DHHS - DSE - Health Workforce Information Center - hwic.utah.gov</t>
  </si>
  <si>
    <t>informedconsent.utah.gov</t>
  </si>
  <si>
    <t>https://informedconsent.utah.gov</t>
  </si>
  <si>
    <t>G-GXG57N7WCJ</t>
  </si>
  <si>
    <t>DHHS - DFH - informedconsent.utah.gov</t>
  </si>
  <si>
    <t>healthcarestats.utah.gov</t>
  </si>
  <si>
    <t>Health Care Statistics Programs – Utah DHHS</t>
  </si>
  <si>
    <t>maternalmentalhealth.utah.gov</t>
  </si>
  <si>
    <t>https://maternalmentalhealth.utah.gov</t>
  </si>
  <si>
    <t>G-5M0X7QNVE1</t>
  </si>
  <si>
    <t>https://healthcarestats.utah.gov</t>
  </si>
  <si>
    <t>DHHS - DFH - maternalmentalhealth.dhhs.utah.gov</t>
  </si>
  <si>
    <t>GTM-W7CPXZZT</t>
  </si>
  <si>
    <t>G-4DBQPP01P4</t>
  </si>
  <si>
    <t>DHHS - DSE - healthcarestats.utah.gov</t>
  </si>
  <si>
    <t>dwrapps - GA4</t>
  </si>
  <si>
    <t>http://dwrapps.utah.gov/ram/start2</t>
  </si>
  <si>
    <t>DHHS - DSPD - Utah State Developmental Center - usdc.utah.gov</t>
  </si>
  <si>
    <t>http://usdc.utah.gov</t>
  </si>
  <si>
    <t>patientsafety.utah.gov</t>
  </si>
  <si>
    <t>dlbc.utah.gov</t>
  </si>
  <si>
    <t>Patient Safety Initiatives | Data, Systems, and Evaluation</t>
  </si>
  <si>
    <t>G-6MGGZ7T9XQ</t>
  </si>
  <si>
    <t>https://patientsafety.utah.gov</t>
  </si>
  <si>
    <t>GTM-MZ865N6K</t>
  </si>
  <si>
    <t>G-SR9T7X7PD2</t>
  </si>
  <si>
    <t>DHHS - DSE - patientsafety.health.utah.gov</t>
  </si>
  <si>
    <t>G-11Y80DXQRJ</t>
  </si>
  <si>
    <t>bewise.utah.gov</t>
  </si>
  <si>
    <t>https://bewise.utah.gov</t>
  </si>
  <si>
    <t>G-28NSQGRM4G</t>
  </si>
  <si>
    <t>DHHS - DPH -  [RETIRED] bewise.utah.gov</t>
  </si>
  <si>
    <t>vitalrecords.utah.gov</t>
  </si>
  <si>
    <t>Vital Records | Utah Department of Health and Human Services | Birth, 
Death, Adoption Records and Other Statistics</t>
  </si>
  <si>
    <t>https://vitalrecords.utah.gov</t>
  </si>
  <si>
    <t>GTM-N8L4ZBQB</t>
  </si>
  <si>
    <t>G-N8SDN6QB9N</t>
  </si>
  <si>
    <t>DHHS - DSE - vitalrecords.utah.gov</t>
  </si>
  <si>
    <t>DWR Events</t>
  </si>
  <si>
    <t>https://dwrapps.utah.gov/events</t>
  </si>
  <si>
    <t>asthma.utah.gov</t>
  </si>
  <si>
    <t>https://asthma.utah.gov</t>
  </si>
  <si>
    <t>dspd.utah.gov</t>
  </si>
  <si>
    <t>Services for People with Disabilities – Utah DHHS</t>
  </si>
  <si>
    <t>G-4Z185MM230</t>
  </si>
  <si>
    <t>DHHS - DPH - asthma.utah.gov</t>
  </si>
  <si>
    <t>https://dspd.utah.gov</t>
  </si>
  <si>
    <t>GTM-K292V8Z4</t>
  </si>
  <si>
    <t>G-0GSTKZMBKS</t>
  </si>
  <si>
    <t>DHHS - IH - Utah State Hospital - ush.utah.gov</t>
  </si>
  <si>
    <t>usdc.utah.gov</t>
  </si>
  <si>
    <t>http://ush.utah.gov</t>
  </si>
  <si>
    <t>Utah State Development Center | Utah Department of Health and Human Services</t>
  </si>
  <si>
    <t>https://usdc.utah.gov</t>
  </si>
  <si>
    <t>GTM-TW9FZZNV</t>
  </si>
  <si>
    <t>G-R16NL3X6JB</t>
  </si>
  <si>
    <t>heal.utah.gov</t>
  </si>
  <si>
    <t>DOC - OPLR</t>
  </si>
  <si>
    <t>Raw Data</t>
  </si>
  <si>
    <t>https://www.oplr.utah.gov</t>
  </si>
  <si>
    <t>https://coveringkids.utah.gov/</t>
  </si>
  <si>
    <t>Covering Kids – Utah DHHS | CHIP and Medicaid for Utah Kids</t>
  </si>
  <si>
    <t>GTM-52W6B4G5, GTM-N59FGF3</t>
  </si>
  <si>
    <t>G-XDWJGGX4J4, UA-82792758-12</t>
  </si>
  <si>
    <t>G-RBM7685K7Q</t>
  </si>
  <si>
    <t>https://healthyminds.utah.gov/</t>
  </si>
  <si>
    <t>Healthy Minds – Utah DHHS</t>
  </si>
  <si>
    <t>GTM-W28FNH6F</t>
  </si>
  <si>
    <t>G-7J459WBCKX</t>
  </si>
  <si>
    <t>medicaid.utah.gov</t>
  </si>
  <si>
    <t>Medicaid - Utah DHHS</t>
  </si>
  <si>
    <t>USHPO Web</t>
  </si>
  <si>
    <t>https://ushpo.utah.gov</t>
  </si>
  <si>
    <t>https://medicaid.utah.gov</t>
  </si>
  <si>
    <t>GTM-55C5RNR5</t>
  </si>
  <si>
    <t>G-YNY7E7MRM7</t>
  </si>
  <si>
    <t>healthequity.utah.gov</t>
  </si>
  <si>
    <t>DHHS - IH - medicaid.utah.gov</t>
  </si>
  <si>
    <t>Utah Public Notices [RETIRED]</t>
  </si>
  <si>
    <t>http://utah.gov/pmn</t>
  </si>
  <si>
    <t>sumh.utah.gov</t>
  </si>
  <si>
    <t>Substance Use and Mental Health | Utah Department of Health and Human 
Services</t>
  </si>
  <si>
    <t>G-WW8FZ6D020</t>
  </si>
  <si>
    <t>https://sumh.utah.gov</t>
  </si>
  <si>
    <t>GTM-TMLXC9XN</t>
  </si>
  <si>
    <t>G-WYEPYF677M</t>
  </si>
  <si>
    <t>DHHS - IH - SUMH - sumh.utah.gov</t>
  </si>
  <si>
    <t>ruralhealth.utah.gov</t>
  </si>
  <si>
    <t>ush.utah.gov</t>
  </si>
  <si>
    <t>Utah State Hospital | Utah Department of Health and Human Services | Mental 
Illness treatment in a safe and healing environment.</t>
  </si>
  <si>
    <t>https://ush.utah.gov</t>
  </si>
  <si>
    <t>GTM-MFKRJKDD</t>
  </si>
  <si>
    <t>DNR - WRe - water.utah.gov</t>
  </si>
  <si>
    <t>G-8FMRJYPHD8</t>
  </si>
  <si>
    <t>Water Resources - GA4</t>
  </si>
  <si>
    <t>DHHS - DPH - UBCCP - cancer.utah.gov</t>
  </si>
  <si>
    <t>https://water.utah.gov</t>
  </si>
  <si>
    <t>http://dhhs.utah.gov/</t>
  </si>
  <si>
    <t>Utah Department of Health and Human Services</t>
  </si>
  <si>
    <t>GTM-KGKVG6XQ</t>
  </si>
  <si>
    <t>G-1ZJX6VCK1J</t>
  </si>
  <si>
    <t>DHHS - Main - dhhs.utah.gov</t>
  </si>
  <si>
    <t>G-JQX75Q4Z68</t>
  </si>
  <si>
    <t>Office of Ombuds - Department of Health and Human Services</t>
  </si>
  <si>
    <t>https://dhhs.utah.gov/ombuds-services/</t>
  </si>
  <si>
    <t>GTM-KGKVG6XQ, GTM-NPWBCNVZ</t>
  </si>
  <si>
    <t>G-X29W7REJMJ</t>
  </si>
  <si>
    <t>DNR - WRe - conservewater.utah.gov</t>
  </si>
  <si>
    <t>DHHS - DSE - healthassessment.utah.gov</t>
  </si>
  <si>
    <t>Water Conservation - GA4</t>
  </si>
  <si>
    <t>http://www.conservewater.utah.gov</t>
  </si>
  <si>
    <t>DHHS - WIC - wic.utah.gov</t>
  </si>
  <si>
    <t>http://wic.utah.gov</t>
  </si>
  <si>
    <t>secure.utah.gov</t>
  </si>
  <si>
    <t>https://secure.utah.gov/vitalrecords/</t>
  </si>
  <si>
    <t>ome.utah.gov</t>
  </si>
  <si>
    <t>Office of the Medical Examiner | Utah Department of Health and Human 
Services</t>
  </si>
  <si>
    <t>G-L7BZZH96H9</t>
  </si>
  <si>
    <t>DHHS - DSE - secure.utah.gov/vitalrecords</t>
  </si>
  <si>
    <t>https://ome.utah.gov</t>
  </si>
  <si>
    <t>G-WGB53BXRBQ</t>
  </si>
  <si>
    <t>GTM-P8CBGPFV</t>
  </si>
  <si>
    <t>G-KFN6GS5XFR</t>
  </si>
  <si>
    <t>DHHS - Office of Medical Examiner - ome.utah.gov</t>
  </si>
  <si>
    <t>Recovery Services (Child Support) - Utah DHHS</t>
  </si>
  <si>
    <t>G-LD4KXHGXK0</t>
  </si>
  <si>
    <t>GTM-5X755GL5</t>
  </si>
  <si>
    <t>socialharms.utah.gov</t>
  </si>
  <si>
    <t>Unmask the dangers of social media - Harms of Social Media - Utah DHHS</t>
  </si>
  <si>
    <t>graymatters.utah.gov</t>
  </si>
  <si>
    <t>https://graymatters.utah.gov</t>
  </si>
  <si>
    <t>G-D9P8778J31</t>
  </si>
  <si>
    <t>https://socialharms.utah.gov</t>
  </si>
  <si>
    <t>DHHS - Gray Matters - graymatters.utah.gov</t>
  </si>
  <si>
    <t>GTM-KPLSRCFF, GTM-TKBW2NRF</t>
  </si>
  <si>
    <t>G-Z1169LE0PJ</t>
  </si>
  <si>
    <t>DHHS - Social Harms - socialharms.utah.gov</t>
  </si>
  <si>
    <t>988.utah.gov</t>
  </si>
  <si>
    <t>https://988.utah.gov</t>
  </si>
  <si>
    <t>G-0TBD2PVBSK</t>
  </si>
  <si>
    <t>DHHS - IH - 988.utah.gov</t>
  </si>
  <si>
    <t>DNR - DWR - WildAwareUtah</t>
  </si>
  <si>
    <t>http://wildawareutah.org</t>
  </si>
  <si>
    <t>newbornscreening.utah.gov</t>
  </si>
  <si>
    <t>Newborn Screening Program | Utah Department of Health and Human Services</t>
  </si>
  <si>
    <t>dhhs.utah.gov</t>
  </si>
  <si>
    <t>https://newbornscreening.utah.gov</t>
  </si>
  <si>
    <t>chip.utah.gov</t>
  </si>
  <si>
    <t>GTM-KNJ85W5D</t>
  </si>
  <si>
    <t>G-5ZQXVTS6HJ</t>
  </si>
  <si>
    <t>https://chip.utah.gov</t>
  </si>
  <si>
    <t>DHHS - UPHL - newbornscreening.utah.gov</t>
  </si>
  <si>
    <t>G-KLN3GQ23RJ</t>
  </si>
  <si>
    <t>G-QTW0SMZS8T</t>
  </si>
  <si>
    <t>DHHS - IH - chip.utah.gov</t>
  </si>
  <si>
    <t>chipespanol.utah.gov</t>
  </si>
  <si>
    <t>https://chipespanol.utah.gov</t>
  </si>
  <si>
    <t>uphl.utah.gov</t>
  </si>
  <si>
    <t>https://dhhs.utah.gov</t>
  </si>
  <si>
    <t>Utah Public Health lab</t>
  </si>
  <si>
    <t>https://uphl.utah.gov</t>
  </si>
  <si>
    <t>G-9Z7Q6MJZ84</t>
  </si>
  <si>
    <t>GTM-KB9ZV6L5</t>
  </si>
  <si>
    <t>DHHS - IH - chipespanol.utah.gov</t>
  </si>
  <si>
    <t>uphl.utah.gov/forensic-toxicology/</t>
  </si>
  <si>
    <t>Forensic Toxicology | Utah Public Health lab</t>
  </si>
  <si>
    <t>https://uphl.utah.gov/forensic-toxicology</t>
  </si>
  <si>
    <t>UDOT - Safe Routes Utah - www.saferoutesutah.com</t>
  </si>
  <si>
    <t>Safe Routes Utah - GA4</t>
  </si>
  <si>
    <t>http://www.saferoutesutah.com</t>
  </si>
  <si>
    <t>uddc.utah.gov</t>
  </si>
  <si>
    <t>Utah Developmental Disabilities Council | Utah Department of Health and 
Human Services | Advocating for Utahns with Developmental Disabilities</t>
  </si>
  <si>
    <t>https://uddc.utah.gov</t>
  </si>
  <si>
    <t>GTM-T933TSSD</t>
  </si>
  <si>
    <t>DNR - DWR</t>
  </si>
  <si>
    <t>G-N0BP4CV2KP</t>
  </si>
  <si>
    <t>http://wildlife.utah.gov</t>
  </si>
  <si>
    <t>DHHS - Utah Developmental Disabilities Council - uddc.utah.gov</t>
  </si>
  <si>
    <t>G-HWEDVQ6WZL</t>
  </si>
  <si>
    <t>G-BHXXM6J8GH</t>
  </si>
  <si>
    <t>https://wildlife.utah.gov/</t>
  </si>
  <si>
    <t>mccwapp.dhhs.utah.gov</t>
  </si>
  <si>
    <t>Hunt, fish &amp; discover - Utah Division of Wildlife Resources</t>
  </si>
  <si>
    <t>https://mccwapp.dhhs.utah.gov</t>
  </si>
  <si>
    <t>G-DXYEHQ16CN</t>
  </si>
  <si>
    <t>DHHS - IH - mccwapp.dhhs.utah.gov</t>
  </si>
  <si>
    <t>GTM-TXLRR3K</t>
  </si>
  <si>
    <t>Property Rights Ombudsman - GA4</t>
  </si>
  <si>
    <t>https://fish.utah.gov/</t>
  </si>
  <si>
    <t>Fish Utah -- Division of Wildlife Resources</t>
  </si>
  <si>
    <t>dsamh.utah.gov</t>
  </si>
  <si>
    <t>http://dsamh.utah.gov</t>
  </si>
  <si>
    <t>G-11Y80DXQRJ, UA-50117920-4</t>
  </si>
  <si>
    <t>G-6NZV3JCM8T</t>
  </si>
  <si>
    <t>https://hunt.utah.gov/</t>
  </si>
  <si>
    <t>Utah Hunt Planner -- Utah Division of Wildlife Resources</t>
  </si>
  <si>
    <t>DWRe UtahDNR Opendata - GA4</t>
  </si>
  <si>
    <t>teamdhhs.utah.gov</t>
  </si>
  <si>
    <t>https://teamdhhs.utah.gov</t>
  </si>
  <si>
    <t>G-QX2KHJTDFL</t>
  </si>
  <si>
    <t>DHHS - Intranet - teamdhhs.utah.gov</t>
  </si>
  <si>
    <t>jjys.utah.gov</t>
  </si>
  <si>
    <t>https://stdofthesea.utah.gov/</t>
  </si>
  <si>
    <t>Aquatic Invasive Species in Utah: Don't Spread the STD of the Sea</t>
  </si>
  <si>
    <t>All Commerce Websites</t>
  </si>
  <si>
    <t>https://wildlifemigration.utah.gov/</t>
  </si>
  <si>
    <t>Identify, Preserve &amp; Enhance Migration Corridors - Utah Wildlife Migration Initiative</t>
  </si>
  <si>
    <t>policyors.utah.gov</t>
  </si>
  <si>
    <t>https://policyors.utah.gov</t>
  </si>
  <si>
    <t>G-57VNM3D7JM</t>
  </si>
  <si>
    <t>DHHS - ORS - policyors.utah.gov</t>
  </si>
  <si>
    <t>CORP Website - GA4</t>
  </si>
  <si>
    <t>G-YS1PB194W7, UA-48898317-3</t>
  </si>
  <si>
    <t>DNR - DWR - Wildlife Migration Initiative</t>
  </si>
  <si>
    <t>https://ffsl.utah.gov/</t>
  </si>
  <si>
    <t>Forestry, Fire &amp; State Lands Website</t>
  </si>
  <si>
    <t>G-REBPMBJJZD</t>
  </si>
  <si>
    <t>DNR - FFSL</t>
  </si>
  <si>
    <t>DOC - DCP</t>
  </si>
  <si>
    <t>DCP</t>
  </si>
  <si>
    <t>https://dcp.utah.gov</t>
  </si>
  <si>
    <t>liveonutah.org</t>
  </si>
  <si>
    <t>https://liveonutah.org</t>
  </si>
  <si>
    <t>G-1E7WMBP5SS</t>
  </si>
  <si>
    <t>https://energy.utah.gov/</t>
  </si>
  <si>
    <t>DHHS - USPC - LiveOn - liveonutah.org</t>
  </si>
  <si>
    <t>Home - Office of Energy Development</t>
  </si>
  <si>
    <t>www.utahddcouncil.org</t>
  </si>
  <si>
    <t>ogm.utah.gov</t>
  </si>
  <si>
    <t>https://www.utahddcouncil.org/</t>
  </si>
  <si>
    <t>Oil, Gas, and Mining | A Division of Department of Natural Resources</t>
  </si>
  <si>
    <t>G-T3WSYR5DTB</t>
  </si>
  <si>
    <t>https://ogm.utah.gov</t>
  </si>
  <si>
    <t>G-2N57PZERBL</t>
  </si>
  <si>
    <t>G-ZQKPG0KPVT</t>
  </si>
  <si>
    <t>DNR - OGM</t>
  </si>
  <si>
    <t>UDOT - Main website</t>
  </si>
  <si>
    <t>utahsafehaven.org</t>
  </si>
  <si>
    <t>http://www.udot.utah.gov/udot/</t>
  </si>
  <si>
    <t>https://utahsafehaven.org</t>
  </si>
  <si>
    <t>G-7NJLQGN5V3</t>
  </si>
  <si>
    <t>DHHS - utahsafehaven.org</t>
  </si>
  <si>
    <t>wic.utah.gov</t>
  </si>
  <si>
    <t>https://geology.utah.gov</t>
  </si>
  <si>
    <t>Homepage - Utah Geological Survey</t>
  </si>
  <si>
    <t>DRE Site - GA4</t>
  </si>
  <si>
    <t>G-2NQ40EMM93</t>
  </si>
  <si>
    <t>GTM-M7CNXDK</t>
  </si>
  <si>
    <t>G-983EZBYB1K</t>
  </si>
  <si>
    <t>DNR - UGS</t>
  </si>
  <si>
    <t>health.utah.gov</t>
  </si>
  <si>
    <t>https://health.utah.gov/vpms</t>
  </si>
  <si>
    <t>G-321LZVZZRL</t>
  </si>
  <si>
    <t>DHHS - WIC appt - health.utah.gov/vpms</t>
  </si>
  <si>
    <t>https://earthquakes.utah.gov</t>
  </si>
  <si>
    <t>Earthquakes | Providing the Latest in Emergency Preparedness and Earthquake Updates</t>
  </si>
  <si>
    <t>https://secured.utah.gov/dogm/Forms/Page/dogm-market/dogm-market/</t>
  </si>
  <si>
    <t>Division of Oil Gas and Mining</t>
  </si>
  <si>
    <t>GTM-WP4V2C9</t>
  </si>
  <si>
    <t>G-8DNHH8FMGJ</t>
  </si>
  <si>
    <t>G-FD6390ZW2B, G-LS9R29P1SZ</t>
  </si>
  <si>
    <t>DNR - UGS - Earthquakes</t>
  </si>
  <si>
    <t>DCP Site - GA4</t>
  </si>
  <si>
    <t>http://utahfiresense.org/</t>
  </si>
  <si>
    <t>Fire Sense</t>
  </si>
  <si>
    <t>utahfiresense.org</t>
  </si>
  <si>
    <t>GTM-NMSQLL9</t>
  </si>
  <si>
    <t>G-JJ3KSH57Z1</t>
  </si>
  <si>
    <t>https://conservewater.utah.gov/</t>
  </si>
  <si>
    <t>Conserve Water Utah – This is the Conservation site of the Utah Division of Water Resources</t>
  </si>
  <si>
    <t>www.utah.gov</t>
  </si>
  <si>
    <t>gis.utah.gov</t>
  </si>
  <si>
    <t>Utah Geospatical Resource Center</t>
  </si>
  <si>
    <t>GTM-KMKKVQ28</t>
  </si>
  <si>
    <t>https://gis.utah.gov</t>
  </si>
  <si>
    <t>G-MD7LCFF9Y1</t>
  </si>
  <si>
    <t>http://www.utah.gov</t>
  </si>
  <si>
    <t>Labor</t>
  </si>
  <si>
    <t>G-621Q114PFJ</t>
  </si>
  <si>
    <t>laborcommission.utah.gov</t>
  </si>
  <si>
    <t>Home - Utah Labor Commission</t>
  </si>
  <si>
    <t>https://laborcommission.utah.gov</t>
  </si>
  <si>
    <t>G-NR2SND7H2D</t>
  </si>
  <si>
    <t>https://drought.utah.gov/</t>
  </si>
  <si>
    <t>Utah Drought – Home for Utah Drought Updates</t>
  </si>
  <si>
    <t>Certification Search:  https://laborcommission.utah.gov/divisions/boiler-elevator-and-coal-mine-safety/coal-miner-certification/certification-search/</t>
  </si>
  <si>
    <t>DOPL - GA4</t>
  </si>
  <si>
    <t>Certification Search</t>
  </si>
  <si>
    <t>https://laborcommission.utah.gov/divisions/boiler-elevator-and-coal-mine-safety/coal-miner-certification/certification-search/</t>
  </si>
  <si>
    <t>Workplace Health or Safety Complaint</t>
  </si>
  <si>
    <t>https://laborcommission.utah.gov/divisions/uosh/</t>
  </si>
  <si>
    <t>GTM-MPQK3FP5</t>
  </si>
  <si>
    <t>SEC Site - GA4</t>
  </si>
  <si>
    <t>Whistleblower Complaint (UOSH)</t>
  </si>
  <si>
    <t>https://water.utah.gov/</t>
  </si>
  <si>
    <t>Utah Division of Water Resources – This is the Utah Division of Water Resources site</t>
  </si>
  <si>
    <t>GTM-5F553VLJ</t>
  </si>
  <si>
    <t>https://laborcommission.utah.gov/workplace-safety/workplace-safety-wps-grant-applications/</t>
  </si>
  <si>
    <t>Workplace Safety Grant Applications - Utah Labor Commission</t>
  </si>
  <si>
    <t>DPU</t>
  </si>
  <si>
    <t>clickit.utah.gov</t>
  </si>
  <si>
    <t>https://secure.utah.gov/scr</t>
  </si>
  <si>
    <t>Click it Utah</t>
  </si>
  <si>
    <t>Home | State Construction Registry</t>
  </si>
  <si>
    <t>https://clickit.utah.gov</t>
  </si>
  <si>
    <t>GTM-5NS829T</t>
  </si>
  <si>
    <t>G-RSZSZHS5LP, UA-137182731-6</t>
  </si>
  <si>
    <t>G-ELDEEFYB93, G-PRL0QTE0VR, G-TCVPMTGNMW, UA-103830962-19</t>
  </si>
  <si>
    <t>DOC - DOPL - State Construction Registry</t>
  </si>
  <si>
    <t>udottraffic.utah.gov</t>
  </si>
  <si>
    <t>UDOT Traffic</t>
  </si>
  <si>
    <t>https://udottraffic.utah.gov</t>
  </si>
  <si>
    <t>DNR - greatsaltlake.utah.gov</t>
  </si>
  <si>
    <t>G-RXJZFK6CJM</t>
  </si>
  <si>
    <t>GSL - GA4</t>
  </si>
  <si>
    <t>https://greatsaltlake.utah.gov</t>
  </si>
  <si>
    <t>http://bci.utah.gov/</t>
  </si>
  <si>
    <t>DPS – Criminal Identification (BCI) | Criminal Identification (BCI)</t>
  </si>
  <si>
    <t>medicalcannabis.utah.gov</t>
  </si>
  <si>
    <t>Center for Medical Cannabis | Utah Department of Health and Human Services</t>
  </si>
  <si>
    <t>https://medicalcannabis.utah.gov</t>
  </si>
  <si>
    <t>GTM-KH2PG6CZ</t>
  </si>
  <si>
    <t>G-3MX5M91R4V</t>
  </si>
  <si>
    <t>UDAF  - CMC - medicalcannabis.utah.gov</t>
  </si>
  <si>
    <t>G-MZ312296YY</t>
  </si>
  <si>
    <t>recreation.utah.gov</t>
  </si>
  <si>
    <t>https://recreation.utah.gov</t>
  </si>
  <si>
    <t>G-TXCLXBN7Y4</t>
  </si>
  <si>
    <t>DNR - DOR</t>
  </si>
  <si>
    <t>G-6F2DGLNNC1, G-ELDEEFYB93, G-PRL0QTE0VR, UA-103830962-19, UA-827740-40</t>
  </si>
  <si>
    <t>DPS - BCI</t>
  </si>
  <si>
    <t>https://secured.utah.gov/utoutdoorrecdirectory/Forms/Page/utoutdoorrecdirectory/utohvcourse</t>
  </si>
  <si>
    <t>G-H9HH86491Q</t>
  </si>
  <si>
    <t>GOED - Main Website</t>
  </si>
  <si>
    <t>DNR - DOR - OHV Education Course</t>
  </si>
  <si>
    <t>business.utah.gov</t>
  </si>
  <si>
    <t>wildlife.utah.gov</t>
  </si>
  <si>
    <t>https://business.utah.gov</t>
  </si>
  <si>
    <t>post.utah.gov</t>
  </si>
  <si>
    <t>DPS – Peace Officer Standards and Training | Peace Officer Standards and 
Training</t>
  </si>
  <si>
    <t>https://post.utah.gov</t>
  </si>
  <si>
    <t>https://secure.utah.gov/serv1-hflo/hflo</t>
  </si>
  <si>
    <t>G-18KZG2CG7F</t>
  </si>
  <si>
    <t>G-5H1GMK0F28</t>
  </si>
  <si>
    <t>DNR - DWR - HFLO</t>
  </si>
  <si>
    <t>https://secure.utah.gov/hflo-agent/</t>
  </si>
  <si>
    <t>G-SHN0E4H9PT</t>
  </si>
  <si>
    <t>DNR - DWR - HFLO Agent</t>
  </si>
  <si>
    <t>DHHS [RETIRED]childcarelicensing.utah.gov</t>
  </si>
  <si>
    <t>[RETIRED] childcarelicensing.utah.gov - GA4</t>
  </si>
  <si>
    <t>https://childcarelicensing.utah.gov</t>
  </si>
  <si>
    <t>fish.utah.gov</t>
  </si>
  <si>
    <t>GRAMA Request</t>
  </si>
  <si>
    <t>https://bci.utah.gov/grama-requests/</t>
  </si>
  <si>
    <t>hunt.utah.gov</t>
  </si>
  <si>
    <t>G-2GPJNEJ5B0</t>
  </si>
  <si>
    <t>Manually Found</t>
  </si>
  <si>
    <t>dwrapps.utah.gov</t>
  </si>
  <si>
    <t>DGO DARS Archives</t>
  </si>
  <si>
    <t>https://secure.utah.gov/concealed-firearms/</t>
  </si>
  <si>
    <t>Home | Concealed Firearm Renewals</t>
  </si>
  <si>
    <t>stdofthesea.utah.gov</t>
  </si>
  <si>
    <t>G-ZYHXFPGY0G</t>
  </si>
  <si>
    <t>DPS - Concealed Firearms</t>
  </si>
  <si>
    <t>wildawareutah.org</t>
  </si>
  <si>
    <t>https://secure.utah.gov/concealed-firearms/help/photoGuidelines.html</t>
  </si>
  <si>
    <t>Headshot Photo Guidelines | Concealed Firearm Renewals</t>
  </si>
  <si>
    <t>wildlifemigration.utah.gov</t>
  </si>
  <si>
    <t>G-YS1PB194W7</t>
  </si>
  <si>
    <t>ffsl.utah.gov</t>
  </si>
  <si>
    <t>https://secure.utah.gov/concealed-firearms/help/photoSizeReducingTips.html</t>
  </si>
  <si>
    <t>greatsaltlake.utah.gov</t>
  </si>
  <si>
    <t>naturalresources.utah.gov</t>
  </si>
  <si>
    <t>https://secure.utah.gov/concealed-firearms/permit/index.html</t>
  </si>
  <si>
    <t>Firearm Safety Video | Concealed Firearm Renewals</t>
  </si>
  <si>
    <t>OIG - Medicaid Services</t>
  </si>
  <si>
    <t>OIG - GA4</t>
  </si>
  <si>
    <t>https://oig.utah.gov</t>
  </si>
  <si>
    <t>energy.utah.gov</t>
  </si>
  <si>
    <t>G-BDJWPLYE2Y</t>
  </si>
  <si>
    <t>dem.utah.gov</t>
  </si>
  <si>
    <t>Utah Emergency Management</t>
  </si>
  <si>
    <t>energylab.utah.gov</t>
  </si>
  <si>
    <t>https://energylab.utah.gov</t>
  </si>
  <si>
    <t>https://dem.utah.gov</t>
  </si>
  <si>
    <t>G-G4PRJYX074</t>
  </si>
  <si>
    <t>GTM-5FBCW6C9</t>
  </si>
  <si>
    <t>G-1WM8P8TX9K</t>
  </si>
  <si>
    <t>DNR - OED - EnergyLab - energylab.utah.gov</t>
  </si>
  <si>
    <t>DPS - DEM</t>
  </si>
  <si>
    <t>Utah Charter School Finance Authority</t>
  </si>
  <si>
    <t>UCSFA - GA4</t>
  </si>
  <si>
    <t>https://ucsfa.utah.gov/</t>
  </si>
  <si>
    <t>floodhazards.utah.gov</t>
  </si>
  <si>
    <t>Utah Flood Hazards | Flood Risk and Floodplain Management</t>
  </si>
  <si>
    <t>publiclands.utah.gov</t>
  </si>
  <si>
    <t>https://publiclands.utah.gov</t>
  </si>
  <si>
    <t>GTM-53GLXF6B</t>
  </si>
  <si>
    <t>G-5Y0PPYTC97</t>
  </si>
  <si>
    <t>G-6MPFYHM4H6</t>
  </si>
  <si>
    <t>DNR - PLPCO</t>
  </si>
  <si>
    <t>rdcc.utah.gov</t>
  </si>
  <si>
    <t>dld.utah.gov</t>
  </si>
  <si>
    <t>Utah Driver License Division</t>
  </si>
  <si>
    <t>Treasurer - Main Website</t>
  </si>
  <si>
    <t>Treasurer.utah.gov - GA4</t>
  </si>
  <si>
    <t>https://dld.utah.gov</t>
  </si>
  <si>
    <t>https://treasurer.utah.gov</t>
  </si>
  <si>
    <t>GTM-WKB6QJTX</t>
  </si>
  <si>
    <t>G-DRXKRYG8VD</t>
  </si>
  <si>
    <t>geology.utah.gov</t>
  </si>
  <si>
    <t>DPS - DLD</t>
  </si>
  <si>
    <t>G-RDT945T7N9</t>
  </si>
  <si>
    <t>G-EN4LC4Q69P</t>
  </si>
  <si>
    <t>earthquakes.utah.gov</t>
  </si>
  <si>
    <t>https://secure.utah.gov/dhr/</t>
  </si>
  <si>
    <t>Attorney General WordPress Site - GA4</t>
  </si>
  <si>
    <t>Welcome | Driver History Record Search</t>
  </si>
  <si>
    <t>G-ELDEEFYB93, G-PRL0QTE0VR, G-RV4E20T0VJ, UA-103830962-19, UA-15325774-35</t>
  </si>
  <si>
    <t>conservewater.utah.gov</t>
  </si>
  <si>
    <t>DPS - Driver History Record Search</t>
  </si>
  <si>
    <t>firemarshal.utah.gov</t>
  </si>
  <si>
    <t>State Fire Marshal Office</t>
  </si>
  <si>
    <t>https://firemarshal.utah.gov</t>
  </si>
  <si>
    <t>GTM-P2GQ7DLC</t>
  </si>
  <si>
    <t>dwre-utahdnr.opendata.arcgis.com</t>
  </si>
  <si>
    <t>G-M7S8Q94J27</t>
  </si>
  <si>
    <t>DPS - Fire Marshal</t>
  </si>
  <si>
    <t>http://crimevictim.utah.gov/ - GA4</t>
  </si>
  <si>
    <t>water.utah.gov</t>
  </si>
  <si>
    <t>forensicservices.utah.gov</t>
  </si>
  <si>
    <t>Utah Bureau of Forensic Services</t>
  </si>
  <si>
    <t>https://forensicservices.utah.gov</t>
  </si>
  <si>
    <t>GTM-KS2HKQM8</t>
  </si>
  <si>
    <t>G-BWN3LN7XCJ</t>
  </si>
  <si>
    <t>waterfunding.utah.gov</t>
  </si>
  <si>
    <t>DPS - Forensic Services - forensicservices.utah.gov</t>
  </si>
  <si>
    <t>https://waterfunding.utah.gov</t>
  </si>
  <si>
    <t>G-QL88M8QWFD</t>
  </si>
  <si>
    <t>DNR - WRe - waterfunding.utah.gov</t>
  </si>
  <si>
    <t>watershed.utah.gov</t>
  </si>
  <si>
    <t>https://watershed.utah.gov</t>
  </si>
  <si>
    <t>G-GFVEJGZLLT</t>
  </si>
  <si>
    <t>DNR - WRI</t>
  </si>
  <si>
    <t>escooters.utah.gov</t>
  </si>
  <si>
    <t>E Scooters | Utah Highway Safety Office</t>
  </si>
  <si>
    <t>wri.utah.gov</t>
  </si>
  <si>
    <t>https://wri.utah.gov/wri/</t>
  </si>
  <si>
    <t>G-4T5T9BBK05</t>
  </si>
  <si>
    <t>https://escooters.utah.gov</t>
  </si>
  <si>
    <t>DNR - WRI Project App</t>
  </si>
  <si>
    <t>GTM-5JTB9KBS</t>
  </si>
  <si>
    <t>G-H1XF7X9E4C</t>
  </si>
  <si>
    <t>http://justice.utah.gov/ - GA4</t>
  </si>
  <si>
    <t>DPS - HSO - Highwaysafety</t>
  </si>
  <si>
    <t>https://cce.my.salesforce-sites.com/portal/</t>
  </si>
  <si>
    <t>cce.my.salesforce-sites.com</t>
  </si>
  <si>
    <t>No Live Tag Firing</t>
  </si>
  <si>
    <t>highwaysafety.utah.gov</t>
  </si>
  <si>
    <t>Utah Highway Safety Office</t>
  </si>
  <si>
    <t>https://history.utah.gov/</t>
  </si>
  <si>
    <t>https://ag.utah.gov</t>
  </si>
  <si>
    <t>Utah Historical Society | The Utah Historical Society is a division of the 
Utah Department of Cultural &amp; Community Engagement</t>
  </si>
  <si>
    <t>HTTP 403</t>
  </si>
  <si>
    <t>https://highwaysafety.utah.gov</t>
  </si>
  <si>
    <t>https://idc.utah.gov/grants/grant-application</t>
  </si>
  <si>
    <t>DHA - Arts &amp; Museums - GA4</t>
  </si>
  <si>
    <t>https://artsandmuseums.utah.gov</t>
  </si>
  <si>
    <t>dps.utah.gov</t>
  </si>
  <si>
    <t>Department of Public Safety</t>
  </si>
  <si>
    <t>https://dps.utah.gov</t>
  </si>
  <si>
    <t>Product Locator App</t>
  </si>
  <si>
    <t>GTM-TLZJB9ZN</t>
  </si>
  <si>
    <t>G-H2P4QPT940</t>
  </si>
  <si>
    <t>apps.apple.com</t>
  </si>
  <si>
    <t>DPS - Main Website</t>
  </si>
  <si>
    <t>https://apps.apple.com/us/app/ut-dabs-app/id1471992994</t>
  </si>
  <si>
    <t>Utah DEQ: DAQ: Current Conditions: Salt Lake County</t>
  </si>
  <si>
    <t>dpsnews.utah.gov</t>
  </si>
  <si>
    <t>News Archive | Department of Public Safety</t>
  </si>
  <si>
    <t>GOV - Utah Inland Port Authority</t>
  </si>
  <si>
    <t>https://dpsnews.utah.gov</t>
  </si>
  <si>
    <t>Utah Inland Port Authority - GA4</t>
  </si>
  <si>
    <t>https://inlandportauthority.utah.gov</t>
  </si>
  <si>
    <t>MBE/WBE Procurement Report</t>
  </si>
  <si>
    <t>lf-public.deq.utah.gov</t>
  </si>
  <si>
    <t>https://lf-public.deq.utah.gov/WebLink/DocView.aspx?id=632748&amp;dbid=0&amp;repo=Public</t>
  </si>
  <si>
    <t>https://secure.utah.gov/mvr-personal/</t>
  </si>
  <si>
    <t>Home | MVR Personal</t>
  </si>
  <si>
    <t>G-4PNZVWKW4V</t>
  </si>
  <si>
    <t>lf-public.deq.utah.gov/WebLink/Welcome.aspx</t>
  </si>
  <si>
    <t>Utah Department of Environmental Quality EQDocs</t>
  </si>
  <si>
    <t>https://lf-public.deq.utah.gov/WebLink/Welcome.aspx</t>
  </si>
  <si>
    <t>waterlink.utah.gov/</t>
  </si>
  <si>
    <t>Waterlink</t>
  </si>
  <si>
    <t>waterlink.utah.gov</t>
  </si>
  <si>
    <t>https://waterlink.utah.gov</t>
  </si>
  <si>
    <t>siac.utah.gov</t>
  </si>
  <si>
    <t>Statewide Information and Analysis Center (SIAC)</t>
  </si>
  <si>
    <t>SAP Concur (URL: https://www.concursolutions.com/)</t>
  </si>
  <si>
    <t>https://siac.utah.gov</t>
  </si>
  <si>
    <t>concursolutions.com</t>
  </si>
  <si>
    <t>https://www.concursolutions.com/)</t>
  </si>
  <si>
    <t>G-541P3LYQFR</t>
  </si>
  <si>
    <t>DPS - SIAC</t>
  </si>
  <si>
    <t>employee.utah.gov</t>
  </si>
  <si>
    <t>UtahID</t>
  </si>
  <si>
    <t>https://employee.utah.gov</t>
  </si>
  <si>
    <t>joinuhp.utah.gov</t>
  </si>
  <si>
    <t>joinuhp.utah.gov | Join the Utah Highway Patrol. Apply today at 
joinuhp.utah.gov</t>
  </si>
  <si>
    <t>Finance Support Submit a ticket (https://financesupport.utah.gov/portal/en/newticket)</t>
  </si>
  <si>
    <t>financesupport.utah.gov</t>
  </si>
  <si>
    <t>GTM-WJCVV94</t>
  </si>
  <si>
    <t>https://financesupport.utah.gov/portal/en/newticket)</t>
  </si>
  <si>
    <t>highwaypatrol.utah.gov</t>
  </si>
  <si>
    <t>Utah Highway Patrol</t>
  </si>
  <si>
    <t>admin.commerce.utah.gov</t>
  </si>
  <si>
    <t>https://highwaypatrol.utah.gov</t>
  </si>
  <si>
    <t>GTM-WSZGJ8GT</t>
  </si>
  <si>
    <t>G-09TG2W4KSL</t>
  </si>
  <si>
    <t>DPS - Utah Highway Patrol - uhp.utah.gov</t>
  </si>
  <si>
    <t>DHA - Bookmobiles - GA4</t>
  </si>
  <si>
    <t>commerce.utah.gov</t>
  </si>
  <si>
    <t>GOEO</t>
  </si>
  <si>
    <t>Home - Governor's Office of Economic Development</t>
  </si>
  <si>
    <t>blog.commerce.utah.gov</t>
  </si>
  <si>
    <t>corporations.utah.gov</t>
  </si>
  <si>
    <t>inutah.org</t>
  </si>
  <si>
    <t>In Utah - Governor's Office of Economic Development</t>
  </si>
  <si>
    <t>db.corporations.gov</t>
  </si>
  <si>
    <t>https://db.corporations.gov/gia/</t>
  </si>
  <si>
    <t>https://inutah.org</t>
  </si>
  <si>
    <t>G-4HVDLQN6RG</t>
  </si>
  <si>
    <t>DOC - CORP - GIA Database</t>
  </si>
  <si>
    <t>DHA - History - GA4</t>
  </si>
  <si>
    <t>db.corporations.utah.gov</t>
  </si>
  <si>
    <t>https://db.corporations.utah.gov/moraa/</t>
  </si>
  <si>
    <t>G-WE9DYFJK64</t>
  </si>
  <si>
    <t>DOC - CORP - MoRAA</t>
  </si>
  <si>
    <t>startup.utah.gov</t>
  </si>
  <si>
    <t>Startup State Initiative | Utah</t>
  </si>
  <si>
    <t>https://secure.utah.gov/trademark/</t>
  </si>
  <si>
    <t>G-YM2B0RK169</t>
  </si>
  <si>
    <t>DOC - CORP - Trademark Manager</t>
  </si>
  <si>
    <t>https://startup.utah.gov</t>
  </si>
  <si>
    <t>GTM-PD22RLKB</t>
  </si>
  <si>
    <t>G-6PCHT1NQ38</t>
  </si>
  <si>
    <t>GOEO - Startup</t>
  </si>
  <si>
    <t>dcp.utah.gov</t>
  </si>
  <si>
    <t>DHA - HistoryToGo - GA4</t>
  </si>
  <si>
    <t>GOBP</t>
  </si>
  <si>
    <t>https://gopb.utah.gov/budgetresources/</t>
  </si>
  <si>
    <t>socialmedia.utah.gov</t>
  </si>
  <si>
    <t>Budget Resources | Governor's Office of Planning and Budget</t>
  </si>
  <si>
    <t>https://socialmedia.utah.gov</t>
  </si>
  <si>
    <t>G-F6M4TZGBHX</t>
  </si>
  <si>
    <t>DOC - DCP - Social Media</t>
  </si>
  <si>
    <t>G-DZYWHQZP43, UA-15590520-7</t>
  </si>
  <si>
    <t>GOPB - Main Website</t>
  </si>
  <si>
    <t>dopl.utah.gov</t>
  </si>
  <si>
    <t>G-50LSSKN0SH</t>
  </si>
  <si>
    <t>DOC - DOPL - Continuing Education Providers</t>
  </si>
  <si>
    <t>db.dopl.utah.gov</t>
  </si>
  <si>
    <t>https://db.dopl.utah.gov</t>
  </si>
  <si>
    <t>G-8BKW79JNTK</t>
  </si>
  <si>
    <t>DOC - DOPL - Databases</t>
  </si>
  <si>
    <t>ag.utah.gov - GA4</t>
  </si>
  <si>
    <t>https://secure.utah.gov/llv/search/index.html</t>
  </si>
  <si>
    <t>G-QEDS9FB4SZ</t>
  </si>
  <si>
    <t>DOC - DOPL - Licensee Lookup and Verification System</t>
  </si>
  <si>
    <t>DPS - DLD - DocSearch</t>
  </si>
  <si>
    <t>docsearch.utah.gov</t>
  </si>
  <si>
    <t>https://secure.utah.gov/scr/</t>
  </si>
  <si>
    <t>G-TCVPMTGNMW</t>
  </si>
  <si>
    <t>uphp.utah.gov</t>
  </si>
  <si>
    <t>dpu.utah.gov</t>
  </si>
  <si>
    <t>https://docsearch.utah.gov</t>
  </si>
  <si>
    <t>realestate.utah.gov</t>
  </si>
  <si>
    <t>G-XVYKD7QSRV</t>
  </si>
  <si>
    <t>https://secure.utah.gov/rer/rer</t>
  </si>
  <si>
    <t>G-0YMR78J1ZC</t>
  </si>
  <si>
    <t>DOC - DRE - License Renewal</t>
  </si>
  <si>
    <t>https://sites.google.com/utah.gov/knowledge-base/</t>
  </si>
  <si>
    <t>DPS - DEM - Hazards</t>
  </si>
  <si>
    <t>G-792Q3M154W</t>
  </si>
  <si>
    <t>Hazards - GA4</t>
  </si>
  <si>
    <t>https://hazards.utah.gov</t>
  </si>
  <si>
    <t>DOC - Knowledge Base (Intranet)</t>
  </si>
  <si>
    <t>luau.utah.gov</t>
  </si>
  <si>
    <t>https://luau.utah.gov</t>
  </si>
  <si>
    <t>G-Z28SBKZ6MK</t>
  </si>
  <si>
    <t>G-L7GK4Y2BLV</t>
  </si>
  <si>
    <t>DOC - Land Use Academy of Utah</t>
  </si>
  <si>
    <t>www.ai.utah.gov</t>
  </si>
  <si>
    <t>https://www.ai.utah.gov</t>
  </si>
  <si>
    <t>G-WFJD9HQXR9</t>
  </si>
  <si>
    <t>DOC - OAIP</t>
  </si>
  <si>
    <t>www.oplr.utah.gov</t>
  </si>
  <si>
    <t>propertyrights.utah.gov</t>
  </si>
  <si>
    <t>securities.utah.gov</t>
  </si>
  <si>
    <t>db.securities.utah.gov</t>
  </si>
  <si>
    <t>https://db.securities.utah.gov</t>
  </si>
  <si>
    <t>G-REQ2D1ENSV</t>
  </si>
  <si>
    <t>DOC - SEC - Securities DB</t>
  </si>
  <si>
    <t>DGO Billing</t>
  </si>
  <si>
    <t>workspaces.dts.utah.gov</t>
  </si>
  <si>
    <t>https://workspaces.dts.utah.gov/scc</t>
  </si>
  <si>
    <t>Adolescent Health | Utah Department of Health and Human Services</t>
  </si>
  <si>
    <t>GTM-MTM8S7VG</t>
  </si>
  <si>
    <t>Appletree – Environmental Epidemiology Program – Utah DHHS</t>
  </si>
  <si>
    <t>GTM-PKH4RDPQ</t>
  </si>
  <si>
    <t>Asthma Program – Utah DHHS</t>
  </si>
  <si>
    <t>GTM-5G2GSLWF</t>
  </si>
  <si>
    <t>childcarelicensing.utah.gov</t>
  </si>
  <si>
    <t>Licensing and Background Checks – Utah DHHS</t>
  </si>
  <si>
    <t>GTM-MGT3LXK5</t>
  </si>
  <si>
    <t>https://dlbc.utah.gov</t>
  </si>
  <si>
    <t>http://teamdhhs.utah.gov/</t>
  </si>
  <si>
    <t>boating.utah.gov</t>
  </si>
  <si>
    <t>Boating - Utah Outdoor Recreation</t>
  </si>
  <si>
    <t>https://boating.utah.gov</t>
  </si>
  <si>
    <t>ohv.utah.gov</t>
  </si>
  <si>
    <t>Off-Highway Vehicles - Utah Outdoor Recreation</t>
  </si>
  <si>
    <t>https://ohv.utah.gov</t>
  </si>
  <si>
    <t>Division of Outdoor Recreation</t>
  </si>
  <si>
    <t>https://www.utah-hunt.com/</t>
  </si>
  <si>
    <t>utah-hunt.com</t>
  </si>
  <si>
    <t>https://www.waterrights.utah.gov</t>
  </si>
  <si>
    <t>Utah Water Rights</t>
  </si>
  <si>
    <t>waterrights.utah.gov</t>
  </si>
  <si>
    <t>Utah Department of Commerce</t>
  </si>
  <si>
    <t>Produce - GA4</t>
  </si>
  <si>
    <t xml:space="preserve">https://blog.commerce.utah.gov </t>
  </si>
  <si>
    <t>Could not fetch title</t>
  </si>
  <si>
    <t>https://businessregistration.utah.gov/</t>
  </si>
  <si>
    <t>Utah Business Registration</t>
  </si>
  <si>
    <t>businessregistration.utah.gov</t>
  </si>
  <si>
    <t>School and Institutional Trust Funds Office</t>
  </si>
  <si>
    <t>sitfo.utah.gov</t>
  </si>
  <si>
    <t>https://busu.sgut.civixapps.com/</t>
  </si>
  <si>
    <t>busu.sgut.civixapps.com</t>
  </si>
  <si>
    <t>https://sitfo.utah.gov</t>
  </si>
  <si>
    <t xml:space="preserve">https://commerce.utah.gov </t>
  </si>
  <si>
    <t>https://commerce.utah.gov</t>
  </si>
  <si>
    <t xml:space="preserve">https://www.commerce.utah.gov </t>
  </si>
  <si>
    <t>https://www.commerce.utah.gov</t>
  </si>
  <si>
    <t>G-S8V3R9K6SJ</t>
  </si>
  <si>
    <t>https://corporations.utah.gov</t>
  </si>
  <si>
    <t>Division of Corporations &amp; Commercial Code</t>
  </si>
  <si>
    <t>Division of Consumer Protection</t>
  </si>
  <si>
    <t>https://dopl.utah.gov -</t>
  </si>
  <si>
    <t>https://dopl.utah.gov</t>
  </si>
  <si>
    <t>HR - HRIS - GA4</t>
  </si>
  <si>
    <t>https://dpu.utah.gov</t>
  </si>
  <si>
    <t>Division of Public Utilities</t>
  </si>
  <si>
    <t>https://ocs.utah.gov</t>
  </si>
  <si>
    <t>Office of Consumer Services</t>
  </si>
  <si>
    <t>ocs.utah.gov</t>
  </si>
  <si>
    <t>https://propertyrights.utah.gov</t>
  </si>
  <si>
    <t>Office of the Property Rights Ombudsman</t>
  </si>
  <si>
    <t>https://realestate.utah.gov</t>
  </si>
  <si>
    <t>http://utahsown.org - GA4</t>
  </si>
  <si>
    <t>Division of Real Estate</t>
  </si>
  <si>
    <t>https://secure.utah.gov/abr</t>
  </si>
  <si>
    <t>https://secure.utah.gov/bes</t>
  </si>
  <si>
    <t>Rapid Response Team - GA4</t>
  </si>
  <si>
    <t>https://secure.utah.gov/charities</t>
  </si>
  <si>
    <t>https://secure.utah.gov/dba</t>
  </si>
  <si>
    <t>https://secure.utah.gov/hoa</t>
  </si>
  <si>
    <t>https://secure.utah.gov/osbr-user</t>
  </si>
  <si>
    <t>https://secure.utah.gov/relms</t>
  </si>
  <si>
    <t>https://secure.utah.gov/rps</t>
  </si>
  <si>
    <t>bci.utah.gov</t>
  </si>
  <si>
    <t>Public Lands (PLPCO) - GA4</t>
  </si>
  <si>
    <t>G-6F2DGLNNC1</t>
  </si>
  <si>
    <t>cism.utah.gov</t>
  </si>
  <si>
    <t>https://cism.utah.gov</t>
  </si>
  <si>
    <t>G-HHYJXE2MF1</t>
  </si>
  <si>
    <t>DPS - BMDS- CISM</t>
  </si>
  <si>
    <t>beready.utah.gov</t>
  </si>
  <si>
    <t>hazards.utah.gov</t>
  </si>
  <si>
    <t>DHA - Library - GA4</t>
  </si>
  <si>
    <t>https://secure.utah.gov/dlexams</t>
  </si>
  <si>
    <t>G-MTJXTGB7JB</t>
  </si>
  <si>
    <t>DPS - DLD - Driver License Exams</t>
  </si>
  <si>
    <t>G-MS43Y6DYJD</t>
  </si>
  <si>
    <t>DPS - DLD - Drivers License Renewal</t>
  </si>
  <si>
    <t>https://secure.utah.gov/examcenter</t>
  </si>
  <si>
    <t>G-NE9D8KFV88</t>
  </si>
  <si>
    <t>DPS - DLD - Exam Center Public</t>
  </si>
  <si>
    <t>DHA - Indian Affairs - GA4</t>
  </si>
  <si>
    <t>https://secure.utah.gov/mvr/</t>
  </si>
  <si>
    <t>G-RV4E20T0VJ</t>
  </si>
  <si>
    <t>https://secure.utah.gov/dhr-pi</t>
  </si>
  <si>
    <t>G-XEWHXBVL38</t>
  </si>
  <si>
    <t>DPS - Driving History Record - Private Investigators</t>
  </si>
  <si>
    <t>ems.utah.gov</t>
  </si>
  <si>
    <t>DHA - Multicultural Affairs - GA4</t>
  </si>
  <si>
    <t>https://multicultural.utah.gov</t>
  </si>
  <si>
    <t>https://secure.utah.gov/fmcert</t>
  </si>
  <si>
    <t>G-BGKHY8DE2G</t>
  </si>
  <si>
    <t>DPS - Fire Marshal Public Exam Center</t>
  </si>
  <si>
    <t>DHA - Online Library - GA4</t>
  </si>
  <si>
    <t>STEM Action Center - GA4</t>
  </si>
  <si>
    <t>mydps.utah.gov</t>
  </si>
  <si>
    <t>https://secure.utah.gov/protectiveorder/index.html</t>
  </si>
  <si>
    <t>G-1QHVEGSE0H</t>
  </si>
  <si>
    <t>DPS - Protective Order</t>
  </si>
  <si>
    <t>sbi.utah.gov</t>
  </si>
  <si>
    <t>https://sbi.utah.gov/</t>
  </si>
  <si>
    <t>G-H3EYZVNX76</t>
  </si>
  <si>
    <t>DPS - SBI</t>
  </si>
  <si>
    <t>rescue.utah.gov</t>
  </si>
  <si>
    <t>teamDHHS.utah.gov</t>
  </si>
  <si>
    <t>https://secure.utah.gov/warrants/</t>
  </si>
  <si>
    <t>G-0QHNKWNGPG</t>
  </si>
  <si>
    <t>DPS - Warrant Search</t>
  </si>
  <si>
    <t>https://secure.utah.gov/trademark</t>
  </si>
  <si>
    <t>Log in with Your Utah.gov Account</t>
  </si>
  <si>
    <t>https://securities.utah.gov</t>
  </si>
  <si>
    <t>Utah Division of Securities</t>
  </si>
  <si>
    <t>https://sgutq-publicportal.busdq.civixapps.com</t>
  </si>
  <si>
    <t>Cenuity Online</t>
  </si>
  <si>
    <t>sgutq-publicportal.busdq.civixapps.com</t>
  </si>
  <si>
    <t>Social Media Amendments?</t>
  </si>
  <si>
    <t>[RETIRED]utahddcouncil.org &gt; uddc.utah.org</t>
  </si>
  <si>
    <t>https://uphp.utah.gov</t>
  </si>
  <si>
    <t>Utah Professionals Health Program</t>
  </si>
  <si>
    <t>https://app.kaseware.us/public/#utahsiac/57d63dc4-250e-4622-93fb-1c8df760a262</t>
  </si>
  <si>
    <t>Kaseware Portal</t>
  </si>
  <si>
    <t>app.kaseware.us</t>
  </si>
  <si>
    <t>https://dldapply.ps.utah.gov/?appt=*</t>
  </si>
  <si>
    <t>Utah DLD Apply</t>
  </si>
  <si>
    <t>dldapply.ps.utah.gov</t>
  </si>
  <si>
    <t>State Bureau of Investigation</t>
  </si>
  <si>
    <t>https://sbi.utah.gov</t>
  </si>
  <si>
    <t>GTM-P5QWHR2T</t>
  </si>
  <si>
    <t>https://secure.utah.gov/account/log-in.html</t>
  </si>
  <si>
    <t>https://secure.utah.gov/warrants/index.html</t>
  </si>
  <si>
    <t>https://serialandcfp.ps.utah.gov/</t>
  </si>
  <si>
    <t>Serial and CFP</t>
  </si>
  <si>
    <t>serialandcfp.ps.utah.gov</t>
  </si>
  <si>
    <t>https://utahpost.freshdesk.com/support/login</t>
  </si>
  <si>
    <t>Sign into : Utah Peace Officer Standards and Training</t>
  </si>
  <si>
    <t>utahpost.freshdesk.com</t>
  </si>
  <si>
    <t>mydoorway.utah.gov</t>
  </si>
  <si>
    <t>https://mydoorway.utah.gov</t>
  </si>
  <si>
    <t>Unreachable / Broken</t>
  </si>
  <si>
    <t>oneutahsummit.utah.gov</t>
  </si>
  <si>
    <t>One Utah Summit</t>
  </si>
  <si>
    <t>https://oneutahsummit.utah.gov</t>
  </si>
  <si>
    <t>EWCCV:  https://www.ewccv.com/cvs/</t>
  </si>
  <si>
    <t>Workers Compensation Coverage Verification</t>
  </si>
  <si>
    <t>ewccv.com</t>
  </si>
  <si>
    <t>https://www.ewccv.com/cvs/</t>
  </si>
  <si>
    <t>My LC Portal:  https://mylc.utah.gov/</t>
  </si>
  <si>
    <t>My LC Portal - Utah Labor Commission</t>
  </si>
  <si>
    <t>mylc.utah.gov</t>
  </si>
  <si>
    <t>https://mylc.utah.gov/</t>
  </si>
  <si>
    <t>Employment Discrimination Questionnaire:  https://mylc.utah.gov/ed-applications</t>
  </si>
  <si>
    <t>https://mylc.utah.gov/ed-applications</t>
  </si>
  <si>
    <t>Housing Discrimination Questionnaire:  https://mylc.utah.gov/getApplications</t>
  </si>
  <si>
    <t>https://mylc.utah.gov/getApplications</t>
  </si>
  <si>
    <t>Document Upload:  https://webaccess.laborcommission.utah.gov/adj-doc-upload/</t>
  </si>
  <si>
    <t>ADJ Document Upload - Utah Labor Commission</t>
  </si>
  <si>
    <t>webaccess.laborcommission.utah.gov</t>
  </si>
  <si>
    <t>https://webaccess.laborcommission.utah.gov/adj-doc-upload/</t>
  </si>
  <si>
    <t>https://heal.utah.gov</t>
  </si>
  <si>
    <t>Inspector Web:  https://webaccess.laborcommission.utah.gov/inspectorweb/</t>
  </si>
  <si>
    <t>Inspector Web - Utah Labor Commission</t>
  </si>
  <si>
    <t>https://webaccess.laborcommission.utah.gov/inspectorweb/</t>
  </si>
  <si>
    <t>Miner Certification:  https://webaccess.laborcommission.utah.gov/minecertification/login</t>
  </si>
  <si>
    <t>Miner Certification</t>
  </si>
  <si>
    <t>https://webaccess.laborcommission.utah.gov/minecertification/login</t>
  </si>
  <si>
    <t>Wage Claim:  https://webaccess.laborcommission.utah.gov/wageclaim/</t>
  </si>
  <si>
    <t>https://webaccess.laborcommission.utah.gov/wageclaim/</t>
  </si>
  <si>
    <t>DHA - UServeUtah - GA4</t>
  </si>
  <si>
    <t>WCCW:  https://webaccess.laborcommission.utah.gov/wccoveragewaivers/</t>
  </si>
  <si>
    <t>WCCW - Utah Labor Commission</t>
  </si>
  <si>
    <t>https://webaccess.laborcommission.utah.gov/wccoveragewaivers/</t>
  </si>
  <si>
    <t>National Guard</t>
  </si>
  <si>
    <t>https://www.151arw.ang.af.mil/</t>
  </si>
  <si>
    <t>151st Wing</t>
  </si>
  <si>
    <t>151arw.ang.af.mil</t>
  </si>
  <si>
    <t>DXP</t>
  </si>
  <si>
    <t>design-system-sandbox.utah.gov</t>
  </si>
  <si>
    <t>https://design-system-sandbox.utah.gov</t>
  </si>
  <si>
    <t>G-BW1SYM40YP</t>
  </si>
  <si>
    <t>DXP - Test Website - design-system-sandbox.utah.gov</t>
  </si>
  <si>
    <t>gopb.utah.gov</t>
  </si>
  <si>
    <t>GOED</t>
  </si>
  <si>
    <t>housing.utah.gov</t>
  </si>
  <si>
    <t>https://housing.utah.gov</t>
  </si>
  <si>
    <t>G-L9Z57TS9LK</t>
  </si>
  <si>
    <t>GOED - HCD - housing.utah.gov</t>
  </si>
  <si>
    <t>PSC - Relay Utah</t>
  </si>
  <si>
    <t>Relay Utah - GA4</t>
  </si>
  <si>
    <t>https://relay.utah.gov</t>
  </si>
  <si>
    <t>G-D5E4KQ2PL3</t>
  </si>
  <si>
    <t>travel.utah.gov</t>
  </si>
  <si>
    <t>https://fortdouglas.org/</t>
  </si>
  <si>
    <t>Socolive TV – Xem trực tiếp bóng đá hôm nay miễn phí</t>
  </si>
  <si>
    <t>fortdouglas.org</t>
  </si>
  <si>
    <t>connectingutah.com</t>
  </si>
  <si>
    <t>Home | Connect Utah</t>
  </si>
  <si>
    <t>https://connectingutah.com</t>
  </si>
  <si>
    <t>GTM-MGD7NXRV</t>
  </si>
  <si>
    <t>G-T6WP4DXBN3</t>
  </si>
  <si>
    <t>UBC - Main Website</t>
  </si>
  <si>
    <t>GOPB</t>
  </si>
  <si>
    <t>budgetprep.utah.gov</t>
  </si>
  <si>
    <t>gomb.utah.gov</t>
  </si>
  <si>
    <t>https://gomb.utah.gov</t>
  </si>
  <si>
    <t>G-DZYWHQZP43</t>
  </si>
  <si>
    <t>performance.utah.gov</t>
  </si>
  <si>
    <t>http://dsamh.utah.gov &gt; sumh.utah.gov</t>
  </si>
  <si>
    <t>GOV</t>
  </si>
  <si>
    <t>governor.utah.gov</t>
  </si>
  <si>
    <t>https://governor.utah.gov</t>
  </si>
  <si>
    <t>G-4FL295WNP8</t>
  </si>
  <si>
    <t>GOV - Governor's Office</t>
  </si>
  <si>
    <t>inlandportauthority.utah.gov</t>
  </si>
  <si>
    <t>Insurance</t>
  </si>
  <si>
    <t>insurance.utah.gov</t>
  </si>
  <si>
    <t>Utah Insurance Department</t>
  </si>
  <si>
    <t>https://insurance.utah.gov</t>
  </si>
  <si>
    <t>GTM-T4ZT3SC3</t>
  </si>
  <si>
    <t>G-66BGL31WWJ, G-TW22GBJKFH, G-ZXGF79T9W0</t>
  </si>
  <si>
    <t>UID - Main Website | OLDER DUPLICATE UID - Main Website</t>
  </si>
  <si>
    <t>https://westtraversdev.wpenginepowered.com/</t>
  </si>
  <si>
    <t>westtraversdev.wpenginepowered.com</t>
  </si>
  <si>
    <t>https://agbusiness.utah.gov/s/</t>
  </si>
  <si>
    <t>udaoch</t>
  </si>
  <si>
    <t>agbusiness.utah.gov</t>
  </si>
  <si>
    <t>https://www.arcgis.com/apps/dashboards/e4bdb7487776416db2690241f142f718</t>
  </si>
  <si>
    <t>ArcGIS Dashboards</t>
  </si>
  <si>
    <t>arcgis.com</t>
  </si>
  <si>
    <t>Utah Indigent Defense Commission - GA4</t>
  </si>
  <si>
    <t>https://www.arcgis.com/apps/dashboards/f77bd430cc3b4faab0d9adce79bacefc</t>
  </si>
  <si>
    <t>https://arcgis.eddmaps.org/UtahSIIPA/</t>
  </si>
  <si>
    <t>Utah SIIPA</t>
  </si>
  <si>
    <t>arcgis.eddmaps.org</t>
  </si>
  <si>
    <t>https://experience.arcgis.com/experience/0ad39381dc7949c9815a5f7bb9c179eb/</t>
  </si>
  <si>
    <t>Experience</t>
  </si>
  <si>
    <t>Energy - GA4</t>
  </si>
  <si>
    <t>experience.arcgis.com</t>
  </si>
  <si>
    <t>https://storymaps.arcgis.com/stories/0ced71d3e4c34c54b88eb1f31d728896</t>
  </si>
  <si>
    <t>Utah Featured Projects</t>
  </si>
  <si>
    <t>storymaps.arcgis.com</t>
  </si>
  <si>
    <t>https://utah-hub-usg.hub.arcgis.com/</t>
  </si>
  <si>
    <t>Utah Hub</t>
  </si>
  <si>
    <t>utah-hub-usg.hub.arcgis.com</t>
  </si>
  <si>
    <t>udc.utah.gov</t>
  </si>
  <si>
    <t>https://udc.utah.gov</t>
  </si>
  <si>
    <t>Online Permits System</t>
  </si>
  <si>
    <t>udot.utah.gov</t>
  </si>
  <si>
    <t>https://udot.utah.gov/public/olp/f?p=201:3:</t>
  </si>
  <si>
    <t>udot.utah.gov/strategic-direction</t>
  </si>
  <si>
    <t>UDOT Strategic Direction</t>
  </si>
  <si>
    <t>https://udot.utah.gov/strategic-direction</t>
  </si>
  <si>
    <t>USTC</t>
  </si>
  <si>
    <t>mvp.tax.utah.gov</t>
  </si>
  <si>
    <t>Motor Vehicle Portal</t>
  </si>
  <si>
    <t>https://mvp.tax.utah.gov</t>
  </si>
  <si>
    <t>tap.utah.gov</t>
  </si>
  <si>
    <t>Utah's Taxpayer Access Point</t>
  </si>
  <si>
    <t>https://tap.utah.gov</t>
  </si>
  <si>
    <t>Used Oil Collection Log</t>
  </si>
  <si>
    <t>chrome-extension:</t>
  </si>
  <si>
    <t>chrome-extension://efaidnbmnnnibpcajpcglclefindmkaj/https://lf-public.deq.utah.gov/WebLink/ElectronicFile.aspx?docid=465973&amp;eqdocs=DSHW-2024-009031</t>
  </si>
  <si>
    <t>Timeout / Load Failed</t>
  </si>
  <si>
    <t>DWQ Sampling Data File Upload</t>
  </si>
  <si>
    <t>chrome-extension://efaidnbmnnnibpcajpcglclefindmkaj/https://lf-public.deq.utah.gov/WebLink/ElectronicFile.aspx?docid=496096&amp;eqdocs=DWQ-2024-008303</t>
  </si>
  <si>
    <t>https://connecting.utah.gov</t>
  </si>
  <si>
    <t>DDW Cross Connection Control Annual Report for Water Systems</t>
  </si>
  <si>
    <t>chrome-extension://efaidnbmnnnibpcajpcglclefindmkaj/https://lf-public.deq.utah.gov/WebLink/ElectronicFile.aspx?docid=5055&amp;eqdocs=DDW-2021-019046</t>
  </si>
  <si>
    <t>Water Operator Certification Renewal Form</t>
  </si>
  <si>
    <t>chrome-extension://efaidnbmnnnibpcajpcglclefindmkaj/https://lf-public.deq.utah.gov/WebLink/ElectronicFile.aspx?docid=540460&amp;eqdocs=DDW-2025-001853</t>
  </si>
  <si>
    <t>Request a Pre-NOI Meeting Form</t>
  </si>
  <si>
    <t>chrome-extension://efaidnbmnnnibpcajpcglclefindmkaj/https://lf-public.deq.utah.gov/WebLink/ElectronicFile.aspx?docid=546463&amp;eqdocs=DAQ-2025-001436</t>
  </si>
  <si>
    <t>DTS Billing (Domo switching to PowerApps) - Sara Kristensen</t>
  </si>
  <si>
    <t>?</t>
  </si>
  <si>
    <t>UDOT - Contractor Zone</t>
  </si>
  <si>
    <t>https://contractorzone.udot.utah.gov/</t>
  </si>
  <si>
    <t>NeoGov</t>
  </si>
  <si>
    <t>upm.</t>
  </si>
  <si>
    <t>FINET</t>
  </si>
  <si>
    <t>2a57j77qq20y5ehfkbn2udbglnlliy1.antiquities.utah.gov</t>
  </si>
  <si>
    <t>G-R4JH16CR3Z</t>
  </si>
  <si>
    <t>https://2a57j77qq20y5ehfkbn2udbglnlliy1.antiquities.utah.gov</t>
  </si>
  <si>
    <t>Connection Failed</t>
  </si>
  <si>
    <t>Utah National Guard</t>
  </si>
  <si>
    <t>guard.utah.gov</t>
  </si>
  <si>
    <t>https://guard.utah.gov/</t>
  </si>
  <si>
    <t>GTM-57ZJRSWG</t>
  </si>
  <si>
    <t>G-RM6WCDG2H3</t>
  </si>
  <si>
    <t>UNG - Main Website</t>
  </si>
  <si>
    <t>https://guard.utah.gov/mwr/</t>
  </si>
  <si>
    <t>Morale, Welfare, and Recreation | Utah National Guard</t>
  </si>
  <si>
    <t>OIG</t>
  </si>
  <si>
    <t>oig.utah.gov</t>
  </si>
  <si>
    <t>PSC</t>
  </si>
  <si>
    <t>relay.utah.gov</t>
  </si>
  <si>
    <t>UDC - Main Website</t>
  </si>
  <si>
    <t>https://corrections.utah.gov</t>
  </si>
  <si>
    <t>IT Service Portal (https://services.dts.utah.gov)</t>
  </si>
  <si>
    <t>Login - Service Portal</t>
  </si>
  <si>
    <t>services.dts.utah.gov</t>
  </si>
  <si>
    <t>https://services.dts.utah.gov</t>
  </si>
  <si>
    <t>G-K2VTYEFR3S</t>
  </si>
  <si>
    <t>chip.health.utah.gov</t>
  </si>
  <si>
    <t>https://chip.health.utah.gov</t>
  </si>
  <si>
    <t>jjs.utah.gov</t>
  </si>
  <si>
    <t>https://jjs.utah.gov</t>
  </si>
  <si>
    <t>mothertobaby.utah.gov</t>
  </si>
  <si>
    <t>https://mothertobaby.utah.gov</t>
  </si>
  <si>
    <t>https://db.corporations.utah.gov/gia</t>
  </si>
  <si>
    <t>FFSL (Forestry, Fire and State Lands) - GA4</t>
  </si>
  <si>
    <t>https://ffsl.utah.gov</t>
  </si>
  <si>
    <t>https://db.corporations.utah.gov/moraa</t>
  </si>
  <si>
    <t>https://dcp-egov.commerce.utah.gov</t>
  </si>
  <si>
    <t>dcp-egov.commerce.utah.gov</t>
  </si>
  <si>
    <t>homeownersassistance.utah.gov</t>
  </si>
  <si>
    <t>https://homeownersassistance.utah.gov</t>
  </si>
  <si>
    <t>https://640regiment.com/</t>
  </si>
  <si>
    <t>640regiment.com</t>
  </si>
  <si>
    <t>https://safeut.org/national-guard</t>
  </si>
  <si>
    <t>SafeUT National Guard - Mental Health Support for Service Members</t>
  </si>
  <si>
    <t>safeut.org</t>
  </si>
  <si>
    <t>GTM-NQMT9N</t>
  </si>
  <si>
    <t>corrections.utah.gov</t>
  </si>
  <si>
    <t>UDC – Corrections</t>
  </si>
  <si>
    <t>uci.utah.gov</t>
  </si>
  <si>
    <t>UDC – Utah Correctional Industries</t>
  </si>
  <si>
    <t>https://uci.utah.gov</t>
  </si>
  <si>
    <t>G-6Y4XSKCBBS</t>
  </si>
  <si>
    <t>UDC - UCI Utah Correctional Industries</t>
  </si>
  <si>
    <t>https://utahstemgrants.smapply.io/</t>
  </si>
  <si>
    <t>Utah STEM Action Center Grants</t>
  </si>
  <si>
    <t>utahstemgrants.smapply.io</t>
  </si>
  <si>
    <t>UA-11712198-1</t>
  </si>
  <si>
    <t>LC Decision Search:  https://webaccess.laborcommission.utah.gov/SpringDocSearch/index.jsp</t>
  </si>
  <si>
    <t>Utah Labor Commission Decision Search</t>
  </si>
  <si>
    <t>https://webaccess.laborcommission.utah.gov/SpringDocSearch/index.jsp</t>
  </si>
  <si>
    <t>UA-13160535-2</t>
  </si>
  <si>
    <t>https://wildlifelicense.utah.gov/hflo/</t>
  </si>
  <si>
    <t>Utah Hunting and Fishing Licenses - Department of Natural Resources</t>
  </si>
  <si>
    <t>wildlifelicense.utah.gov</t>
  </si>
  <si>
    <t>GTM-KC565J</t>
  </si>
  <si>
    <t>UA-15325774-30</t>
  </si>
  <si>
    <t>brands.utah.gov</t>
  </si>
  <si>
    <t>Utah Brands</t>
  </si>
  <si>
    <t>https://brands.utah.gov</t>
  </si>
  <si>
    <t>UA-168847286-1</t>
  </si>
  <si>
    <t>Project Explorer</t>
  </si>
  <si>
    <t>https://www.udot.utah.gov/projectpages/f?p=250:1:0</t>
  </si>
  <si>
    <t>UA-26555130-1</t>
  </si>
  <si>
    <t>Easy Online 123:  https://webaccess.laborcommission.utah.gov/iaforms/forms.jsf</t>
  </si>
  <si>
    <t>Utah Labor Commission</t>
  </si>
  <si>
    <t>https://webaccess.laborcommission.utah.gov/iaforms/forms.jsf</t>
  </si>
  <si>
    <t>UA-6206838-1</t>
  </si>
  <si>
    <t>contractorzone.udot.utah.gov</t>
  </si>
  <si>
    <t>Consultant Services Procurement Portal</t>
  </si>
  <si>
    <t>connect.udot.utah.gov</t>
  </si>
  <si>
    <t>https://connect.udot.utah.gov/business/consultant-services/</t>
  </si>
  <si>
    <t>GTM-PHJR5DW</t>
  </si>
  <si>
    <t>Motor Carrier Permits System</t>
  </si>
  <si>
    <t>https://connect.udot.utah.gov/business/permits/commercial-trucking-permits/</t>
  </si>
  <si>
    <t>Surplus Property Auctions</t>
  </si>
  <si>
    <t>https://connect.udot.utah.gov/business/surplus-property/</t>
  </si>
  <si>
    <t>Learning Portal</t>
  </si>
  <si>
    <t>https://connect.udot.utah.gov/employee-resources/employee-training/udotu/</t>
  </si>
  <si>
    <t>Damage Claim Form (Arcgis)</t>
  </si>
  <si>
    <t>https://connect.udot.utah.gov/public/claims/</t>
  </si>
  <si>
    <t>UDOT Click 'n Fix</t>
  </si>
  <si>
    <t>https://connect.udot.utah.gov/public/contact-udot/click-n-fix/</t>
  </si>
  <si>
    <t>G-2NQ40EMM93, G-4FR77FF074, UA-5566966-24</t>
  </si>
  <si>
    <t>Litter Pick Up Form (Arcgis)</t>
  </si>
  <si>
    <t>gis.udot.utah.gov</t>
  </si>
  <si>
    <t>https://gis.udot.utah.gov/keeping-utah-beautiful</t>
  </si>
  <si>
    <t>Contractor Zone</t>
  </si>
  <si>
    <t>udot.dev.utah.gov</t>
  </si>
  <si>
    <t>https://udot.dev.utah.gov/docs/contractor-zone/</t>
  </si>
  <si>
    <t>UDOT | Keeping Utah Moving</t>
  </si>
  <si>
    <t>https://udot.utah.gov</t>
  </si>
  <si>
    <t>udotinput.utah.gov</t>
  </si>
  <si>
    <t>UDOT Input - Utah DOT</t>
  </si>
  <si>
    <t>GTM-WWP8V3FC</t>
  </si>
  <si>
    <t>G-23DBM8J6SM, G-SEPEV4BJYF</t>
  </si>
  <si>
    <t>Manually found (duplicate for two agencies)</t>
  </si>
  <si>
    <t>www.saferoutesutah.com</t>
  </si>
  <si>
    <t>trucksmart.udot.utah.gov</t>
  </si>
  <si>
    <t>dashboard.zerofatalities.com</t>
  </si>
  <si>
    <t>https://dashboard.zerofatalities.com</t>
  </si>
  <si>
    <t>G-RRFZ7158FN</t>
  </si>
  <si>
    <t>UDOT - Zero Dashboard - dashboard.zerofatalities.com</t>
  </si>
  <si>
    <t>zerofatalities.com</t>
  </si>
  <si>
    <t>Home - Zero Fatalities</t>
  </si>
  <si>
    <t>GTM-T64Q6D7</t>
  </si>
  <si>
    <t>G-W74DBWG5TL, UA-111195061-2</t>
  </si>
  <si>
    <t>https://zerofatalities.com/driving-log</t>
  </si>
  <si>
    <t>G-CV39C9E6CG</t>
  </si>
  <si>
    <t>UDOT - Zero Fatalities Drive Log - zerofatalities.com/driving-log</t>
  </si>
  <si>
    <t>https://zerofatalities.com/dld-handbook</t>
  </si>
  <si>
    <t>G-WZ8N18R0RQ</t>
  </si>
  <si>
    <t>UDOT - Zerofatalities - DLD Handbook - zerofatalities.com/dld-handbook</t>
  </si>
  <si>
    <t>UID</t>
  </si>
  <si>
    <t>healthrates.utah.gov</t>
  </si>
  <si>
    <t>https://healthrates.utah.gov</t>
  </si>
  <si>
    <t>G-G5EFJ7XTJT</t>
  </si>
  <si>
    <t>UID - Health Rates</t>
  </si>
  <si>
    <t>www.insurance.utah.gov</t>
  </si>
  <si>
    <t>UNG</t>
  </si>
  <si>
    <t>westtraverse.utah.gov</t>
  </si>
  <si>
    <t>https://westtraverse.utah.gov/</t>
  </si>
  <si>
    <t>G-MKCM194CDP</t>
  </si>
  <si>
    <t>UNG - DOD - WTSL</t>
  </si>
  <si>
    <t>UNKNOWN</t>
  </si>
  <si>
    <t>attorneygeneral.utah.gov</t>
  </si>
  <si>
    <t>boards.utah.gov</t>
  </si>
  <si>
    <t>https://boards.utah.gov/s/</t>
  </si>
  <si>
    <t>G-ENYZRHXRQ5</t>
  </si>
  <si>
    <t>Thriving</t>
  </si>
  <si>
    <t>Boards and Commissions</t>
  </si>
  <si>
    <t>cra.utah.gov</t>
  </si>
  <si>
    <t>G-1DJRXSS53M</t>
  </si>
  <si>
    <t>DHHS [RETIRED] - DFH - mothertobaby.utah.gov</t>
  </si>
  <si>
    <t>https://secure.utah.gov/orsscheduler/</t>
  </si>
  <si>
    <t>G-MRPN465X38</t>
  </si>
  <si>
    <t>DHHS [RETIRED] - ORS - secure.utah.gov/orsscheduler</t>
  </si>
  <si>
    <t>jcc.utah.gov</t>
  </si>
  <si>
    <t>https://jcc.utah.gov</t>
  </si>
  <si>
    <t>G-3E3RRYHVGK</t>
  </si>
  <si>
    <t>First Lady</t>
  </si>
  <si>
    <t>Utah.gov - GA4</t>
  </si>
  <si>
    <t>https://jcc.utah.gov/</t>
  </si>
  <si>
    <t>G-85L37JT3XE</t>
  </si>
  <si>
    <t>Judicial Conduct Commission</t>
  </si>
  <si>
    <t>judges.utah.gov</t>
  </si>
  <si>
    <t>https://judges.utah.gov</t>
  </si>
  <si>
    <t>G-BMWSNRVW1C</t>
  </si>
  <si>
    <t>Judicial Performance Evaluation Commission (JPEC)</t>
  </si>
  <si>
    <t>landtrustsadvocacy.utah.gov</t>
  </si>
  <si>
    <t>https://landtrustsadvocacy.utah.gov</t>
  </si>
  <si>
    <t>G-DXVP0WSQQN</t>
  </si>
  <si>
    <t>Land Trusts Protection and Advocacy</t>
  </si>
  <si>
    <t>laborcommission.utah.gov/</t>
  </si>
  <si>
    <t>G-HF75VZKLLN</t>
  </si>
  <si>
    <t>LC - Main Website</t>
  </si>
  <si>
    <t>laborcommission.at.utah.gov</t>
  </si>
  <si>
    <t>https://laborcommission.at.utah.gov</t>
  </si>
  <si>
    <t>G-F4GMX1Q32E</t>
  </si>
  <si>
    <t>electionresults.utah.gov</t>
  </si>
  <si>
    <t>disclosures.utah.gov</t>
  </si>
  <si>
    <t>ltgovernor.utah.gov</t>
  </si>
  <si>
    <t>https://ltgovernor.utah.gov</t>
  </si>
  <si>
    <t>G-NTD6L0VZXZ</t>
  </si>
  <si>
    <t>LG - Main Website</t>
  </si>
  <si>
    <t>https://secure.utah.gov/notary/</t>
  </si>
  <si>
    <t>G-RKB0WBKDD0</t>
  </si>
  <si>
    <t>LG - Notary Application</t>
  </si>
  <si>
    <t>notary.utah.gov</t>
  </si>
  <si>
    <t>vote.utah.gov</t>
  </si>
  <si>
    <t>https://vote.utah.gov/</t>
  </si>
  <si>
    <t>G-0BDZLTMH8Q</t>
  </si>
  <si>
    <t>LG - Vote</t>
  </si>
  <si>
    <t>STDoftheSea.utah.gov - GA4</t>
  </si>
  <si>
    <t>https://secure.utah.gov/voterreg</t>
  </si>
  <si>
    <t>G-KGM1J1RLCH</t>
  </si>
  <si>
    <t>LG - Voter Registration</t>
  </si>
  <si>
    <t>mybusiness.utah.gov</t>
  </si>
  <si>
    <t>https://mybusiness.utah.gov</t>
  </si>
  <si>
    <t>G-NFVQL0F8E7</t>
  </si>
  <si>
    <t>MyBusiness Portal mybusiness.utah.gov</t>
  </si>
  <si>
    <t>my.utah.gov</t>
  </si>
  <si>
    <t>https://my.utah.gov</t>
  </si>
  <si>
    <t>G-MNYE0H82M2</t>
  </si>
  <si>
    <t>MyUtah Portal my.utah.gov</t>
  </si>
  <si>
    <t>auditor.utah.gov</t>
  </si>
  <si>
    <t>itdb.utah.gov</t>
  </si>
  <si>
    <t>psc.utah.gov</t>
  </si>
  <si>
    <t>testbot.utah.gov</t>
  </si>
  <si>
    <t>https://testbot.utah.gov</t>
  </si>
  <si>
    <t>G-DSVM5PQT68</t>
  </si>
  <si>
    <t>TEST Bot Traffic</t>
  </si>
  <si>
    <t>dhhstestdataonly.utah.gov</t>
  </si>
  <si>
    <t>https://dhhstestdataonly.utah.gov</t>
  </si>
  <si>
    <t>G-87T5CMRX9P</t>
  </si>
  <si>
    <t>TEST DHHS GA4 Property</t>
  </si>
  <si>
    <t>G-FEYTPJJZB2</t>
  </si>
  <si>
    <t>TO DELETE DGO - DARS</t>
  </si>
  <si>
    <t>treasurer.utah.gov</t>
  </si>
  <si>
    <t>ucsfa.utah.gov</t>
  </si>
  <si>
    <t>https://secure.utah.gov/pmn-admin</t>
  </si>
  <si>
    <t>G-VZNXTW6LMD</t>
  </si>
  <si>
    <t>Utah Public Notices - Admin</t>
  </si>
  <si>
    <t>utah.gov</t>
  </si>
  <si>
    <t>IA Divison:  https://webaccess.laborcommission.utah.gov/payonline/payonline-ia.jsp</t>
  </si>
  <si>
    <t>Utah Labor Commission - Online Payment System</t>
  </si>
  <si>
    <t>https://webaccess.laborcommission.utah.gov/payonline/payonline-ia.jsp</t>
  </si>
  <si>
    <t>https://secure.utah.gov/llv</t>
  </si>
  <si>
    <t>Search | License Lookup Verification</t>
  </si>
  <si>
    <t>UA-827740-14</t>
  </si>
  <si>
    <t>dmv.utah.gov</t>
  </si>
  <si>
    <t>Motor Vehicle Division</t>
  </si>
  <si>
    <t>GTM-N74XGQBX</t>
  </si>
  <si>
    <t>mved.utah.gov</t>
  </si>
  <si>
    <t>Home - MVED - DMV</t>
  </si>
  <si>
    <t>https://secure.utah.gov/ivs/</t>
  </si>
  <si>
    <t>G-TGQMB2H1FX</t>
  </si>
  <si>
    <t>USTC - DMV - Impound Vehicles</t>
  </si>
  <si>
    <t>https://secure.utah.gov/spot/</t>
  </si>
  <si>
    <t>G-7GDB4RXBEB</t>
  </si>
  <si>
    <t>USTC - DMV - On the Spot Info</t>
  </si>
  <si>
    <t>https://secure.utah.gov/station/</t>
  </si>
  <si>
    <t>G-ELS2R9B703</t>
  </si>
  <si>
    <t>USTC - DMV - On the Spot Stations</t>
  </si>
  <si>
    <t>secure.utah.gov/rex</t>
  </si>
  <si>
    <t>Renewal Express</t>
  </si>
  <si>
    <t>https://secure.utah.gov/rex</t>
  </si>
  <si>
    <t>G-02MLFQFBWJ, G-4YE5RC5MGK, G-ELDEEFYB93, UA-103830962-17, UA-15325774-3</t>
  </si>
  <si>
    <t>USTC - DMV - REX</t>
  </si>
  <si>
    <t>https://secure.utah.gov/rex/</t>
  </si>
  <si>
    <t>G-4YE5RC5MGK</t>
  </si>
  <si>
    <t>Social Media</t>
  </si>
  <si>
    <t>incometax.utah.gov</t>
  </si>
  <si>
    <t>GTM-T7T6TD23</t>
  </si>
  <si>
    <t>propertytax.utah.gov</t>
  </si>
  <si>
    <t>Property Tax | Utah State Tax Commission</t>
  </si>
  <si>
    <t>GTM-WRDFX3VP</t>
  </si>
  <si>
    <t>tax.utah.gov</t>
  </si>
  <si>
    <t>Utah State Tax Commision</t>
  </si>
  <si>
    <t>MonsterInsights - laborcommission.utah.gov/</t>
  </si>
  <si>
    <t>VMA</t>
  </si>
  <si>
    <t>Military.utah.gov</t>
  </si>
  <si>
    <t>Utah Department of Veterans and Military Affairs | Helping Utah's Veterans 
and Military Members Succeed</t>
  </si>
  <si>
    <t>https://Military.utah.gov</t>
  </si>
  <si>
    <t>Veterans.utah.gov</t>
  </si>
  <si>
    <t>https://Veterans.utah.gov</t>
  </si>
  <si>
    <t>MonsterInsights - https://laborcommission.at.utah.gov</t>
  </si>
  <si>
    <t>Zero Fatalities Driving Log</t>
  </si>
  <si>
    <t>Utah Wildlife Migration Initiative - GA4</t>
  </si>
  <si>
    <t>Search and Rescue - GA4</t>
  </si>
  <si>
    <t>https://secure.utah.gov/voterreg - GA4</t>
  </si>
  <si>
    <t>Exam Center Public - GA4</t>
  </si>
  <si>
    <t>DNR WRI Main Application - GA4</t>
  </si>
  <si>
    <t>Election Results - GA4</t>
  </si>
  <si>
    <t>Utah Public Notices Admin</t>
  </si>
  <si>
    <t>DPS EMS</t>
  </si>
  <si>
    <t xml:space="preserve">DNR - DWR - HFLO Agent </t>
  </si>
  <si>
    <t>HFLO-Agent - GA4</t>
  </si>
  <si>
    <t>Fire Marshal Public - GA4</t>
  </si>
  <si>
    <t>Protective Order - GA4</t>
  </si>
  <si>
    <t>Judicial Conduct Commission (JCC - GA4</t>
  </si>
  <si>
    <t>USTC - DMV and MVED</t>
  </si>
  <si>
    <t>notary.utah.gov - GA4</t>
  </si>
  <si>
    <t>On the SPOT - GA4</t>
  </si>
  <si>
    <t>gomb.utah.gov - GA4</t>
  </si>
  <si>
    <t>Driver License Exams - GA4</t>
  </si>
  <si>
    <t>http://purchasing.utah.gov - State Contract Search - GA4</t>
  </si>
  <si>
    <t>[RETIRED] secure.utah.gov/orsscheduler/</t>
  </si>
  <si>
    <t xml:space="preserve">DGO - DTS </t>
  </si>
  <si>
    <t>ethics.utah.gov - GA4</t>
  </si>
  <si>
    <t>https://secure.utah.gov/mvr/ - GA4</t>
  </si>
  <si>
    <t>Design System Website</t>
  </si>
  <si>
    <t>HTTPS UGS Website - GA4</t>
  </si>
  <si>
    <t>Test</t>
  </si>
  <si>
    <t>Utah Earthquakes - GA4</t>
  </si>
  <si>
    <t>Office of Energy Development</t>
  </si>
  <si>
    <t>https://energy.utah.gov</t>
  </si>
  <si>
    <t>G-903D51Z76R</t>
  </si>
  <si>
    <t>DHR-PI - GA4</t>
  </si>
  <si>
    <t>Vote.utah.gov - GA4</t>
  </si>
  <si>
    <t>secure.utah.gov/vitalrecords</t>
  </si>
  <si>
    <t>secure.utah.gov/notary/ - GA4</t>
  </si>
  <si>
    <t>UDOT WP - GA4</t>
  </si>
  <si>
    <t>DPS - Concealed Firearms - GA4</t>
  </si>
  <si>
    <t>[RETIRED] bewise.utah.gov</t>
  </si>
  <si>
    <t>GIA Database</t>
  </si>
  <si>
    <t>Securities Database</t>
  </si>
  <si>
    <t>DOPL Databases</t>
  </si>
  <si>
    <t>MoRAA Database</t>
  </si>
  <si>
    <t>OHV Education Course (v3) - GA4</t>
  </si>
  <si>
    <t xml:space="preserve">https://secured.utah.gov/utoutdoorrecdirectory/Forms/Page/utoutdoorrecdirectory/utohvcourse </t>
  </si>
  <si>
    <t>https://secure.utah.gov/ce-provider - GA4</t>
  </si>
  <si>
    <t>https://secure.utah.gov/dlr/ - GA4</t>
  </si>
  <si>
    <t>REX - Temporary Permits - GA4</t>
  </si>
  <si>
    <t>https://secure.utah.gov/scr/ - GA4</t>
  </si>
  <si>
    <t>https://secure.utah.gov/trademark/ - GA4</t>
  </si>
  <si>
    <t>https://geology.utah.gov, https://geology.utah.gov</t>
  </si>
  <si>
    <t>G-983EZBYB1K, G-EN4LC4Q69P</t>
  </si>
  <si>
    <t>Manually only found G-EN4LC4Q69P</t>
  </si>
  <si>
    <t>HFLO - GA4</t>
  </si>
  <si>
    <t>https://secure.utah.gov/rer/rer - GA4</t>
  </si>
  <si>
    <t>Utah Public Notices</t>
  </si>
  <si>
    <t>DMV - Renewal Express for Stations</t>
  </si>
  <si>
    <t>Office of the Utah State Auditor - GA4</t>
  </si>
  <si>
    <t>http://publicsafety.utah.gov - GA4</t>
  </si>
  <si>
    <t>https://secure.utah.gov/ivs/ - GA4</t>
  </si>
  <si>
    <t>Public Service Commission - GA4</t>
  </si>
  <si>
    <t>https://secure.utah.gov/warrants/ - GA4</t>
  </si>
  <si>
    <t>Disclosures/Lobbyist - GA4</t>
  </si>
  <si>
    <t>Judicial Vacancy - GA4</t>
  </si>
  <si>
    <t>[RETIRED]coronavirus.utah.gov</t>
  </si>
  <si>
    <t>Wild Aware Utah - GA4</t>
  </si>
  <si>
    <t>http://rdcc.utah.gov - GA4</t>
  </si>
  <si>
    <t>https://guard.utah.gov</t>
  </si>
  <si>
    <t>https://ruralhealth.utah.gov</t>
  </si>
  <si>
    <t>Open Records Portal</t>
  </si>
  <si>
    <t>opendata</t>
  </si>
  <si>
    <t>hwic.utah.gov</t>
  </si>
  <si>
    <t>https://hwic.utah.gov</t>
  </si>
  <si>
    <t>[RETIRED]MotherToBaby</t>
  </si>
  <si>
    <t>Utah State Capitol New 12-11-23</t>
  </si>
  <si>
    <t>Startup</t>
  </si>
  <si>
    <t>Corrections Public</t>
  </si>
  <si>
    <t>GovOps Intranet</t>
  </si>
  <si>
    <t>Finance GA4</t>
  </si>
  <si>
    <t>Rules GA4</t>
  </si>
  <si>
    <t>Purchasing GA4</t>
  </si>
  <si>
    <t>DHRM Public</t>
  </si>
  <si>
    <t>State Employees Resources</t>
  </si>
  <si>
    <t>Fleet Operations GA4</t>
  </si>
  <si>
    <t>dfcm website</t>
  </si>
  <si>
    <t>USTC - Main Website, Income, Property</t>
  </si>
  <si>
    <t xml:space="preserve">DGO - DRM </t>
  </si>
  <si>
    <t>Risk GA4</t>
  </si>
  <si>
    <t>DHRM Gateway GA4</t>
  </si>
  <si>
    <t>DTS Public Website</t>
  </si>
  <si>
    <t>GovOps Main Site</t>
  </si>
  <si>
    <t>Land Trusts Advocacy Website</t>
  </si>
  <si>
    <t>Archives NEW stream</t>
  </si>
  <si>
    <t>https://secure.utah.gov/mvr-personal/ - GA4</t>
  </si>
  <si>
    <t>Commerce Knowledge Base</t>
  </si>
  <si>
    <t>DPS.utah.gov</t>
  </si>
  <si>
    <t>SIAC</t>
  </si>
  <si>
    <t>No Stream Configured</t>
  </si>
  <si>
    <t>None</t>
  </si>
  <si>
    <t>judges.utah.gov SF</t>
  </si>
  <si>
    <t>America 250</t>
  </si>
  <si>
    <t>LUAU</t>
  </si>
  <si>
    <t>LGO - Main Website</t>
  </si>
  <si>
    <t>Governor's Office</t>
  </si>
  <si>
    <t>JCC - Main Website</t>
  </si>
  <si>
    <t>West Traverse Sentinel Landscape</t>
  </si>
  <si>
    <t>https://medicaid.utah.gov/</t>
  </si>
  <si>
    <t>DGO - Privacy</t>
  </si>
  <si>
    <t>DFI - Main Website</t>
  </si>
  <si>
    <t>DLD Driver Handbook</t>
  </si>
  <si>
    <t>Fire Marshal</t>
  </si>
  <si>
    <t>https://vantage.employee.utah.gov/</t>
  </si>
  <si>
    <t>UDOT Contractor Zone</t>
  </si>
  <si>
    <t>Dashboard Zero Fatalities</t>
  </si>
  <si>
    <t>DLD (May 2025 launch)</t>
  </si>
  <si>
    <t>Brands.utah.gov</t>
  </si>
  <si>
    <t>DOC - AI</t>
  </si>
  <si>
    <t>Boards Salesforce Site</t>
  </si>
  <si>
    <t>TEST DHHS Stream</t>
  </si>
  <si>
    <t>DPS SBI Main Website</t>
  </si>
  <si>
    <t>DEM Website</t>
  </si>
  <si>
    <t>Highwaysafety website</t>
  </si>
  <si>
    <t>TestBot</t>
  </si>
  <si>
    <t>Utah WIC Appointment Request</t>
  </si>
  <si>
    <t xml:space="preserve">leaps.dhhs.utah.gov </t>
  </si>
  <si>
    <t>Policy ORS</t>
  </si>
  <si>
    <t>Energe Lab Website</t>
  </si>
  <si>
    <t>Medically Complex Children's Waiver Application</t>
  </si>
  <si>
    <t>DGO - ODP - SEDI website sedi.utah.gov</t>
  </si>
  <si>
    <t>UDAF Employee Portal</t>
  </si>
  <si>
    <t>Utah Highway Patrol Website</t>
  </si>
  <si>
    <t>https://uhp.utah.gov/</t>
  </si>
  <si>
    <t>Forensic Services Website</t>
  </si>
  <si>
    <t>Housing &amp; Community Development - housing.utah.gov</t>
  </si>
  <si>
    <t>DXP - Test Website - design-system-sandbox.utah.gov/</t>
  </si>
  <si>
    <t>https://sumh.utah.gov, http://dsamh.utah.gov</t>
  </si>
  <si>
    <t>G-WYEPYF677M, G-6NZV3JCM8T</t>
  </si>
  <si>
    <t>Manually found only G-6NZV3JCM8T</t>
  </si>
  <si>
    <t>https://udotinput.utah.gov, https://udotinput.utah.gov/bccstudy</t>
  </si>
  <si>
    <t>G-SEPEV4BJYF, G-57PBP09PTH</t>
  </si>
  <si>
    <t>Manuually found (two different agencies)</t>
  </si>
  <si>
    <t>https://www.utahddcouncil.org/, https://uddc.utah.gov</t>
  </si>
  <si>
    <t>G-T3WSYR5DTB, G-N0BP4CV2KP</t>
  </si>
  <si>
    <t>Manually found only G-T3WSYR5DTB</t>
  </si>
  <si>
    <t>laborcommission.utah.gov/, https://laborcommission.at.utah.gov</t>
  </si>
  <si>
    <t>G-HF75VZKLLN, G-F4GMX1Q32E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</si>
</sst>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rial"/>
      <scheme val="minor"/>
    </font>
    <font>
      <b/>
      <color theme="1"/>
      <name val="Arial"/>
    </font>
    <font>
      <color theme="1"/>
      <name val="Calibri"/>
    </font>
    <font>
      <color theme="1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  <font>
      <u/>
      <color rgb="FF0000FF"/>
      <name val="Calibri"/>
    </font>
    <font>
      <u/>
      <color rgb="FF0000FF"/>
      <name val="Calibri"/>
    </font>
    <font>
      <u/>
      <color rgb="FF0000FF"/>
    </font>
    <font>
      <sz val="11.0"/>
      <color theme="1"/>
      <name val="Calibri"/>
    </font>
    <font>
      <u/>
      <color rgb="FF0000FF"/>
      <name val="Calibri"/>
    </font>
    <font>
      <u/>
      <color rgb="FF0000FF"/>
    </font>
    <font>
      <color theme="1"/>
      <name val="Arial"/>
      <scheme val="minor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2" fontId="3" numFmtId="0" xfId="0" applyAlignment="1" applyFill="1" applyFont="1">
      <alignment readingOrder="0"/>
    </xf>
    <xf borderId="0" fillId="0" fontId="3" numFmtId="0" xfId="0" applyAlignment="1" applyFont="1">
      <alignment horizontal="right" vertical="bottom"/>
    </xf>
    <xf borderId="0" fillId="2" fontId="3" numFmtId="0" xfId="0" applyFill="1" applyFont="1"/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6" numFmtId="0" xfId="0" applyAlignment="1" applyFont="1">
      <alignment vertical="bottom"/>
    </xf>
    <xf borderId="0" fillId="0" fontId="7" numFmtId="0" xfId="0" applyFont="1"/>
    <xf borderId="0" fillId="2" fontId="2" numFmtId="0" xfId="0" applyFill="1" applyFont="1"/>
    <xf borderId="0" fillId="2" fontId="2" numFmtId="0" xfId="0" applyAlignment="1" applyFill="1" applyFont="1">
      <alignment readingOrder="0"/>
    </xf>
    <xf borderId="0" fillId="2" fontId="2" numFmtId="0" xfId="0" applyFill="1" applyFont="1"/>
    <xf borderId="0" fillId="3" fontId="2" numFmtId="0" xfId="0" applyFill="1" applyFont="1"/>
    <xf borderId="0" fillId="3" fontId="8" numFmtId="0" xfId="0" applyFill="1" applyFont="1"/>
    <xf borderId="0" fillId="4" fontId="2" numFmtId="0" xfId="0" applyFill="1" applyFont="1"/>
    <xf borderId="0" fillId="5" fontId="2" numFmtId="0" xfId="0" applyFill="1" applyFont="1"/>
    <xf borderId="0" fillId="6" fontId="2" numFmtId="0" xfId="0" applyFill="1" applyFont="1"/>
    <xf borderId="0" fillId="6" fontId="9" numFmtId="0" xfId="0" applyFill="1" applyFont="1"/>
    <xf borderId="0" fillId="2" fontId="10" numFmtId="0" xfId="0" applyFill="1" applyFont="1"/>
    <xf borderId="0" fillId="2" fontId="2" numFmtId="0" xfId="0" applyAlignment="1" applyFill="1" applyFont="1">
      <alignment readingOrder="0"/>
    </xf>
    <xf borderId="0" fillId="5" fontId="10" numFmtId="0" xfId="0" applyFill="1" applyFont="1"/>
    <xf borderId="0" fillId="6" fontId="10" numFmtId="0" xfId="0" applyFill="1" applyFont="1"/>
    <xf borderId="0" fillId="0" fontId="11" numFmtId="0" xfId="0" applyAlignment="1" applyFont="1">
      <alignment readingOrder="0"/>
    </xf>
    <xf borderId="0" fillId="7" fontId="2" numFmtId="0" xfId="0" applyFill="1" applyFont="1"/>
    <xf borderId="0" fillId="7" fontId="12" numFmtId="0" xfId="0" applyFill="1" applyFont="1"/>
    <xf borderId="0" fillId="8" fontId="2" numFmtId="0" xfId="0" applyFill="1" applyFont="1"/>
    <xf borderId="0" fillId="0" fontId="13" numFmtId="0" xfId="0" applyFont="1"/>
    <xf borderId="0" fillId="6" fontId="3" numFmtId="0" xfId="0" applyFill="1" applyFont="1"/>
    <xf borderId="0" fillId="9" fontId="2" numFmtId="0" xfId="0" applyFill="1" applyFont="1"/>
    <xf borderId="0" fillId="9" fontId="3" numFmtId="0" xfId="0" applyFill="1" applyFont="1"/>
    <xf borderId="0" fillId="0" fontId="14" numFmtId="0" xfId="0" applyFont="1"/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f-public.deq.utah.gov/WebLink/DocView.aspx?id=632748&amp;dbid=0&amp;repo=Public" TargetMode="External"/><Relationship Id="rId84" Type="http://schemas.openxmlformats.org/officeDocument/2006/relationships/hyperlink" Target="https://connect.udot.utah.gov/business/permits/commercial-trucking-permits/" TargetMode="External"/><Relationship Id="rId83" Type="http://schemas.openxmlformats.org/officeDocument/2006/relationships/hyperlink" Target="https://connect.udot.utah.gov/business/consultant-services/" TargetMode="External"/><Relationship Id="rId42" Type="http://schemas.openxmlformats.org/officeDocument/2006/relationships/hyperlink" Target="https://admin.commerce.utah.gov/" TargetMode="External"/><Relationship Id="rId86" Type="http://schemas.openxmlformats.org/officeDocument/2006/relationships/hyperlink" Target="https://connect.udot.utah.gov/employee-resources/employee-training/udotu/" TargetMode="External"/><Relationship Id="rId41" Type="http://schemas.openxmlformats.org/officeDocument/2006/relationships/hyperlink" Target="https://workspaces.dts.utah.gov/scc" TargetMode="External"/><Relationship Id="rId85" Type="http://schemas.openxmlformats.org/officeDocument/2006/relationships/hyperlink" Target="https://connect.udot.utah.gov/business/surplus-property/" TargetMode="External"/><Relationship Id="rId44" Type="http://schemas.openxmlformats.org/officeDocument/2006/relationships/hyperlink" Target="https://commerce.utah.gov/" TargetMode="External"/><Relationship Id="rId88" Type="http://schemas.openxmlformats.org/officeDocument/2006/relationships/hyperlink" Target="https://connect.udot.utah.gov/public/contact-udot/click-n-fix/" TargetMode="External"/><Relationship Id="rId43" Type="http://schemas.openxmlformats.org/officeDocument/2006/relationships/hyperlink" Target="https://blog.commerce.utah.gov/" TargetMode="External"/><Relationship Id="rId87" Type="http://schemas.openxmlformats.org/officeDocument/2006/relationships/hyperlink" Target="https://connect.udot.utah.gov/public/claims/" TargetMode="External"/><Relationship Id="rId46" Type="http://schemas.openxmlformats.org/officeDocument/2006/relationships/hyperlink" Target="https://corporations.utah.gov/" TargetMode="External"/><Relationship Id="rId45" Type="http://schemas.openxmlformats.org/officeDocument/2006/relationships/hyperlink" Target="https://www.commerce.utah.gov/" TargetMode="External"/><Relationship Id="rId89" Type="http://schemas.openxmlformats.org/officeDocument/2006/relationships/hyperlink" Target="https://gis.udot.utah.gov/keeping-utah-beautiful" TargetMode="External"/><Relationship Id="rId80" Type="http://schemas.openxmlformats.org/officeDocument/2006/relationships/hyperlink" Target="https://640regiment.com/" TargetMode="External"/><Relationship Id="rId82" Type="http://schemas.openxmlformats.org/officeDocument/2006/relationships/hyperlink" Target="https://udottraffic.utah.gov/" TargetMode="External"/><Relationship Id="rId81" Type="http://schemas.openxmlformats.org/officeDocument/2006/relationships/hyperlink" Target="https://www.udot.utah.gov/projectpages/f?p=250:1:0" TargetMode="External"/><Relationship Id="rId1" Type="http://schemas.openxmlformats.org/officeDocument/2006/relationships/hyperlink" Target="https://bop.utah.gov/" TargetMode="External"/><Relationship Id="rId2" Type="http://schemas.openxmlformats.org/officeDocument/2006/relationships/hyperlink" Target="https://justice.utah.gov/about-2/" TargetMode="External"/><Relationship Id="rId3" Type="http://schemas.openxmlformats.org/officeDocument/2006/relationships/hyperlink" Target="https://licenseesearch.uid.utah.gov/" TargetMode="External"/><Relationship Id="rId4" Type="http://schemas.openxmlformats.org/officeDocument/2006/relationships/hyperlink" Target="https://abs.utah.gov/licenses-permits/licensing-system/" TargetMode="External"/><Relationship Id="rId9" Type="http://schemas.openxmlformats.org/officeDocument/2006/relationships/hyperlink" Target="https://ors.utah.gov/" TargetMode="External"/><Relationship Id="rId48" Type="http://schemas.openxmlformats.org/officeDocument/2006/relationships/hyperlink" Target="https://dopl.utah.gov/" TargetMode="External"/><Relationship Id="rId47" Type="http://schemas.openxmlformats.org/officeDocument/2006/relationships/hyperlink" Target="https://dcp.utah.gov/" TargetMode="External"/><Relationship Id="rId49" Type="http://schemas.openxmlformats.org/officeDocument/2006/relationships/hyperlink" Target="https://dpu.utah.gov/" TargetMode="External"/><Relationship Id="rId5" Type="http://schemas.openxmlformats.org/officeDocument/2006/relationships/hyperlink" Target="https://abs.utah.gov/licenses-permits/training/" TargetMode="External"/><Relationship Id="rId6" Type="http://schemas.openxmlformats.org/officeDocument/2006/relationships/hyperlink" Target="https://abs.utah.gov/shop-products/special-orders/" TargetMode="External"/><Relationship Id="rId7" Type="http://schemas.openxmlformats.org/officeDocument/2006/relationships/hyperlink" Target="https://eportal.washco.utah.gov/" TargetMode="External"/><Relationship Id="rId8" Type="http://schemas.openxmlformats.org/officeDocument/2006/relationships/hyperlink" Target="https://webapps2.abc.utah.gov/ProdApps/ProductLocatorCore" TargetMode="External"/><Relationship Id="rId73" Type="http://schemas.openxmlformats.org/officeDocument/2006/relationships/hyperlink" Target="https://db.corporations.utah.gov/gia" TargetMode="External"/><Relationship Id="rId72" Type="http://schemas.openxmlformats.org/officeDocument/2006/relationships/hyperlink" Target="https://mothertobaby.utah.gov/" TargetMode="External"/><Relationship Id="rId31" Type="http://schemas.openxmlformats.org/officeDocument/2006/relationships/hyperlink" Target="https://dhhs.utah.gov/ombuds-services/" TargetMode="External"/><Relationship Id="rId75" Type="http://schemas.openxmlformats.org/officeDocument/2006/relationships/hyperlink" Target="https://dcp-egov.commerce.utah.gov/" TargetMode="External"/><Relationship Id="rId30" Type="http://schemas.openxmlformats.org/officeDocument/2006/relationships/hyperlink" Target="https://concursupport.utah.gov/" TargetMode="External"/><Relationship Id="rId74" Type="http://schemas.openxmlformats.org/officeDocument/2006/relationships/hyperlink" Target="https://db.corporations.utah.gov/moraa" TargetMode="External"/><Relationship Id="rId33" Type="http://schemas.openxmlformats.org/officeDocument/2006/relationships/hyperlink" Target="https://hunt.utah.gov/" TargetMode="External"/><Relationship Id="rId77" Type="http://schemas.openxmlformats.org/officeDocument/2006/relationships/hyperlink" Target="https://laborcommission.utah.gov/divisions/boiler-elevator-and-coal-mine-safety/coal-miner-certification/certification-search/" TargetMode="External"/><Relationship Id="rId32" Type="http://schemas.openxmlformats.org/officeDocument/2006/relationships/hyperlink" Target="https://fish.utah.gov/" TargetMode="External"/><Relationship Id="rId76" Type="http://schemas.openxmlformats.org/officeDocument/2006/relationships/hyperlink" Target="https://homeownersassistance.utah.gov/" TargetMode="External"/><Relationship Id="rId35" Type="http://schemas.openxmlformats.org/officeDocument/2006/relationships/hyperlink" Target="https://wildlifemigration.utah.gov/" TargetMode="External"/><Relationship Id="rId79" Type="http://schemas.openxmlformats.org/officeDocument/2006/relationships/hyperlink" Target="https://laborcommission.utah.gov/divisions/uosh/" TargetMode="External"/><Relationship Id="rId34" Type="http://schemas.openxmlformats.org/officeDocument/2006/relationships/hyperlink" Target="https://stdofthesea.utah.gov/" TargetMode="External"/><Relationship Id="rId78" Type="http://schemas.openxmlformats.org/officeDocument/2006/relationships/hyperlink" Target="https://pawn.utah.gov/" TargetMode="External"/><Relationship Id="rId71" Type="http://schemas.openxmlformats.org/officeDocument/2006/relationships/hyperlink" Target="https://jjs.utah.gov/" TargetMode="External"/><Relationship Id="rId70" Type="http://schemas.openxmlformats.org/officeDocument/2006/relationships/hyperlink" Target="https://chip.health.utah.gov/" TargetMode="External"/><Relationship Id="rId37" Type="http://schemas.openxmlformats.org/officeDocument/2006/relationships/hyperlink" Target="http://bci.utah.gov/" TargetMode="External"/><Relationship Id="rId36" Type="http://schemas.openxmlformats.org/officeDocument/2006/relationships/hyperlink" Target="https://drought.utah.gov/" TargetMode="External"/><Relationship Id="rId39" Type="http://schemas.openxmlformats.org/officeDocument/2006/relationships/hyperlink" Target="https://apps.apple.com/us/app/ut-dabs-app/id1471992994" TargetMode="External"/><Relationship Id="rId38" Type="http://schemas.openxmlformats.org/officeDocument/2006/relationships/hyperlink" Target="https://bci.utah.gov/grama-requests/" TargetMode="External"/><Relationship Id="rId62" Type="http://schemas.openxmlformats.org/officeDocument/2006/relationships/hyperlink" Target="https://socialmedia.utah.gov/" TargetMode="External"/><Relationship Id="rId61" Type="http://schemas.openxmlformats.org/officeDocument/2006/relationships/hyperlink" Target="https://securities.utah.gov/" TargetMode="External"/><Relationship Id="rId20" Type="http://schemas.openxmlformats.org/officeDocument/2006/relationships/hyperlink" Target="https://deq.utah.gov/ddw/ccc-admin" TargetMode="External"/><Relationship Id="rId64" Type="http://schemas.openxmlformats.org/officeDocument/2006/relationships/hyperlink" Target="https://mydoorway.utah.gov/" TargetMode="External"/><Relationship Id="rId63" Type="http://schemas.openxmlformats.org/officeDocument/2006/relationships/hyperlink" Target="https://uphp.utah.gov/" TargetMode="External"/><Relationship Id="rId22" Type="http://schemas.openxmlformats.org/officeDocument/2006/relationships/hyperlink" Target="https://deq.utah.gov/ddw/sanitary-surveys" TargetMode="External"/><Relationship Id="rId66" Type="http://schemas.openxmlformats.org/officeDocument/2006/relationships/hyperlink" Target="https://udot.utah.gov/public/olp/f?p=201:3:" TargetMode="External"/><Relationship Id="rId21" Type="http://schemas.openxmlformats.org/officeDocument/2006/relationships/hyperlink" Target="https://deq.utah.gov/ddw/operator-hiring-center" TargetMode="External"/><Relationship Id="rId65" Type="http://schemas.openxmlformats.org/officeDocument/2006/relationships/hyperlink" Target="https://agbusiness.utah.gov/s/" TargetMode="External"/><Relationship Id="rId24" Type="http://schemas.openxmlformats.org/officeDocument/2006/relationships/hyperlink" Target="https://deq.utah.gov/derr/pst" TargetMode="External"/><Relationship Id="rId68" Type="http://schemas.openxmlformats.org/officeDocument/2006/relationships/hyperlink" Target="https://services.dts.utah.gov/" TargetMode="External"/><Relationship Id="rId23" Type="http://schemas.openxmlformats.org/officeDocument/2006/relationships/hyperlink" Target="https://deq.utah.gov/derr/derr-compliance" TargetMode="External"/><Relationship Id="rId67" Type="http://schemas.openxmlformats.org/officeDocument/2006/relationships/hyperlink" Target="https://2a57j77qq20y5ehfkbn2udbglnlliy1.antiquities.utah.gov/" TargetMode="External"/><Relationship Id="rId60" Type="http://schemas.openxmlformats.org/officeDocument/2006/relationships/hyperlink" Target="https://secure.utah.gov/relms" TargetMode="External"/><Relationship Id="rId26" Type="http://schemas.openxmlformats.org/officeDocument/2006/relationships/hyperlink" Target="https://deq.utah.gov/dwq/uic-assistance" TargetMode="External"/><Relationship Id="rId25" Type="http://schemas.openxmlformats.org/officeDocument/2006/relationships/hyperlink" Target="https://deq.utah.gov/dwq/ground-water-permits" TargetMode="External"/><Relationship Id="rId69" Type="http://schemas.openxmlformats.org/officeDocument/2006/relationships/hyperlink" Target="https://bewise.utah.gov/" TargetMode="External"/><Relationship Id="rId28" Type="http://schemas.openxmlformats.org/officeDocument/2006/relationships/hyperlink" Target="https://deq.utah.gov/dwq/ww-opcert" TargetMode="External"/><Relationship Id="rId27" Type="http://schemas.openxmlformats.org/officeDocument/2006/relationships/hyperlink" Target="https://deq.utah.gov/dwq/water-quality-permitting" TargetMode="External"/><Relationship Id="rId29" Type="http://schemas.openxmlformats.org/officeDocument/2006/relationships/hyperlink" Target="https://jobdesc.utah.gov/" TargetMode="External"/><Relationship Id="rId51" Type="http://schemas.openxmlformats.org/officeDocument/2006/relationships/hyperlink" Target="https://propertyrights.utah.gov/" TargetMode="External"/><Relationship Id="rId50" Type="http://schemas.openxmlformats.org/officeDocument/2006/relationships/hyperlink" Target="https://ocs.utah.gov/" TargetMode="External"/><Relationship Id="rId94" Type="http://schemas.openxmlformats.org/officeDocument/2006/relationships/drawing" Target="../drawings/drawing1.xml"/><Relationship Id="rId53" Type="http://schemas.openxmlformats.org/officeDocument/2006/relationships/hyperlink" Target="https://secure.utah.gov/abr" TargetMode="External"/><Relationship Id="rId52" Type="http://schemas.openxmlformats.org/officeDocument/2006/relationships/hyperlink" Target="https://realestate.utah.gov/" TargetMode="External"/><Relationship Id="rId11" Type="http://schemas.openxmlformats.org/officeDocument/2006/relationships/hyperlink" Target="https://deq.utah.gov/daq/air-quality-complaint-form" TargetMode="External"/><Relationship Id="rId55" Type="http://schemas.openxmlformats.org/officeDocument/2006/relationships/hyperlink" Target="https://secure.utah.gov/dba" TargetMode="External"/><Relationship Id="rId10" Type="http://schemas.openxmlformats.org/officeDocument/2006/relationships/hyperlink" Target="https://ag.utah.gov/conservation/animal-feeding-operations/" TargetMode="External"/><Relationship Id="rId54" Type="http://schemas.openxmlformats.org/officeDocument/2006/relationships/hyperlink" Target="https://secure.utah.gov/abr" TargetMode="External"/><Relationship Id="rId13" Type="http://schemas.openxmlformats.org/officeDocument/2006/relationships/hyperlink" Target="https://deq.utah.gov/daq/air-quality-permitting-general" TargetMode="External"/><Relationship Id="rId57" Type="http://schemas.openxmlformats.org/officeDocument/2006/relationships/hyperlink" Target="https://secure.utah.gov/osbr-user" TargetMode="External"/><Relationship Id="rId12" Type="http://schemas.openxmlformats.org/officeDocument/2006/relationships/hyperlink" Target="https://deq.utah.gov/daq/air-quality-permitting" TargetMode="External"/><Relationship Id="rId56" Type="http://schemas.openxmlformats.org/officeDocument/2006/relationships/hyperlink" Target="https://secure.utah.gov/dba" TargetMode="External"/><Relationship Id="rId91" Type="http://schemas.openxmlformats.org/officeDocument/2006/relationships/hyperlink" Target="https://guard.utah.gov/" TargetMode="External"/><Relationship Id="rId90" Type="http://schemas.openxmlformats.org/officeDocument/2006/relationships/hyperlink" Target="https://udot.dev.utah.gov/docs/contractor-zone/" TargetMode="External"/><Relationship Id="rId93" Type="http://schemas.openxmlformats.org/officeDocument/2006/relationships/hyperlink" Target="https://secure.utah.gov/rex" TargetMode="External"/><Relationship Id="rId92" Type="http://schemas.openxmlformats.org/officeDocument/2006/relationships/hyperlink" Target="https://secure.utah.gov/rex" TargetMode="External"/><Relationship Id="rId15" Type="http://schemas.openxmlformats.org/officeDocument/2006/relationships/hyperlink" Target="https://deq.utah.gov/daq/point-source-emission-inventories" TargetMode="External"/><Relationship Id="rId59" Type="http://schemas.openxmlformats.org/officeDocument/2006/relationships/hyperlink" Target="https://secure.utah.gov/relms" TargetMode="External"/><Relationship Id="rId14" Type="http://schemas.openxmlformats.org/officeDocument/2006/relationships/hyperlink" Target="https://deq.utah.gov/daq/asbestos" TargetMode="External"/><Relationship Id="rId58" Type="http://schemas.openxmlformats.org/officeDocument/2006/relationships/hyperlink" Target="https://secure.utah.gov/osbr-user" TargetMode="External"/><Relationship Id="rId17" Type="http://schemas.openxmlformats.org/officeDocument/2006/relationships/hyperlink" Target="https://deq.utah.gov/daq/source-size-categories" TargetMode="External"/><Relationship Id="rId16" Type="http://schemas.openxmlformats.org/officeDocument/2006/relationships/hyperlink" Target="https://deq.utah.gov/daq/source-size-categories" TargetMode="External"/><Relationship Id="rId19" Type="http://schemas.openxmlformats.org/officeDocument/2006/relationships/hyperlink" Target="https://deq.utah.gov/ddw/ccc-admin" TargetMode="External"/><Relationship Id="rId18" Type="http://schemas.openxmlformats.org/officeDocument/2006/relationships/hyperlink" Target="https://deq.utah.gov/ddw/backflow-assembly-teste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healthequity.utah.gov" TargetMode="External"/><Relationship Id="rId190" Type="http://schemas.openxmlformats.org/officeDocument/2006/relationships/hyperlink" Target="https://secure.utah.gov/protectiveorder/index.html" TargetMode="External"/><Relationship Id="rId42" Type="http://schemas.openxmlformats.org/officeDocument/2006/relationships/hyperlink" Target="https://sites.google.com/utah.gov/udotemployeeresources/" TargetMode="External"/><Relationship Id="rId41" Type="http://schemas.openxmlformats.org/officeDocument/2006/relationships/hyperlink" Target="https://joinuhp.utah.gov" TargetMode="External"/><Relationship Id="rId44" Type="http://schemas.openxmlformats.org/officeDocument/2006/relationships/hyperlink" Target="http://drought.utah.gov" TargetMode="External"/><Relationship Id="rId194" Type="http://schemas.openxmlformats.org/officeDocument/2006/relationships/hyperlink" Target="http://notary.utah.gov" TargetMode="External"/><Relationship Id="rId43" Type="http://schemas.openxmlformats.org/officeDocument/2006/relationships/hyperlink" Target="http://veterans.utah.gov" TargetMode="External"/><Relationship Id="rId193" Type="http://schemas.openxmlformats.org/officeDocument/2006/relationships/hyperlink" Target="https://maternalmentalhealth.utah.gov" TargetMode="External"/><Relationship Id="rId46" Type="http://schemas.openxmlformats.org/officeDocument/2006/relationships/hyperlink" Target="http://opidemic.utah.gov" TargetMode="External"/><Relationship Id="rId192" Type="http://schemas.openxmlformats.org/officeDocument/2006/relationships/hyperlink" Target="http://maternalmentalhealth.utah.gov" TargetMode="External"/><Relationship Id="rId45" Type="http://schemas.openxmlformats.org/officeDocument/2006/relationships/hyperlink" Target="https://drought.utah.gov" TargetMode="External"/><Relationship Id="rId191" Type="http://schemas.openxmlformats.org/officeDocument/2006/relationships/hyperlink" Target="https://jcc.utah.gov/" TargetMode="External"/><Relationship Id="rId48" Type="http://schemas.openxmlformats.org/officeDocument/2006/relationships/hyperlink" Target="https://abs.utah.gov/" TargetMode="External"/><Relationship Id="rId187" Type="http://schemas.openxmlformats.org/officeDocument/2006/relationships/hyperlink" Target="http://ems.utah.gov" TargetMode="External"/><Relationship Id="rId47" Type="http://schemas.openxmlformats.org/officeDocument/2006/relationships/hyperlink" Target="https://opidemic.utah.gov" TargetMode="External"/><Relationship Id="rId186" Type="http://schemas.openxmlformats.org/officeDocument/2006/relationships/hyperlink" Target="https://secure.utah.gov/pmn-admin" TargetMode="External"/><Relationship Id="rId185" Type="http://schemas.openxmlformats.org/officeDocument/2006/relationships/hyperlink" Target="http://electionresults.utah.gov/" TargetMode="External"/><Relationship Id="rId49" Type="http://schemas.openxmlformats.org/officeDocument/2006/relationships/hyperlink" Target="http://healthyminds.utah.gov" TargetMode="External"/><Relationship Id="rId184" Type="http://schemas.openxmlformats.org/officeDocument/2006/relationships/hyperlink" Target="https://wri.utah.gov/wri/" TargetMode="External"/><Relationship Id="rId189" Type="http://schemas.openxmlformats.org/officeDocument/2006/relationships/hyperlink" Target="https://secure.utah.gov/fmcert" TargetMode="External"/><Relationship Id="rId188" Type="http://schemas.openxmlformats.org/officeDocument/2006/relationships/hyperlink" Target="https://secure.utah.gov/hflo-agent/" TargetMode="External"/><Relationship Id="rId31" Type="http://schemas.openxmlformats.org/officeDocument/2006/relationships/hyperlink" Target="https://budgetprep.utah.gov" TargetMode="External"/><Relationship Id="rId30" Type="http://schemas.openxmlformats.org/officeDocument/2006/relationships/hyperlink" Target="https://performance.utah.gov" TargetMode="External"/><Relationship Id="rId33" Type="http://schemas.openxmlformats.org/officeDocument/2006/relationships/hyperlink" Target="http://itdb.utah.gov" TargetMode="External"/><Relationship Id="rId183" Type="http://schemas.openxmlformats.org/officeDocument/2006/relationships/hyperlink" Target="https://secure.utah.gov/examcenter" TargetMode="External"/><Relationship Id="rId32" Type="http://schemas.openxmlformats.org/officeDocument/2006/relationships/hyperlink" Target="http://www.insurance.utah.gov" TargetMode="External"/><Relationship Id="rId182" Type="http://schemas.openxmlformats.org/officeDocument/2006/relationships/hyperlink" Target="https://secure.utah.gov/voterreg" TargetMode="External"/><Relationship Id="rId35" Type="http://schemas.openxmlformats.org/officeDocument/2006/relationships/hyperlink" Target="http://ors.utah.gov" TargetMode="External"/><Relationship Id="rId181" Type="http://schemas.openxmlformats.org/officeDocument/2006/relationships/hyperlink" Target="http://rescue.utah.gov" TargetMode="External"/><Relationship Id="rId34" Type="http://schemas.openxmlformats.org/officeDocument/2006/relationships/hyperlink" Target="https://ilovehistory.utah.gov" TargetMode="External"/><Relationship Id="rId180" Type="http://schemas.openxmlformats.org/officeDocument/2006/relationships/hyperlink" Target="https://wildlifemigration.utah.gov/" TargetMode="External"/><Relationship Id="rId37" Type="http://schemas.openxmlformats.org/officeDocument/2006/relationships/hyperlink" Target="http://appletree.utah.gov" TargetMode="External"/><Relationship Id="rId176" Type="http://schemas.openxmlformats.org/officeDocument/2006/relationships/hyperlink" Target="https://laborcommission.at.utah.gov" TargetMode="External"/><Relationship Id="rId297" Type="http://schemas.openxmlformats.org/officeDocument/2006/relationships/hyperlink" Target="https://sites.google.com/utah.gov/knowledge-base/" TargetMode="External"/><Relationship Id="rId36" Type="http://schemas.openxmlformats.org/officeDocument/2006/relationships/hyperlink" Target="https://ors.utah.gov" TargetMode="External"/><Relationship Id="rId175" Type="http://schemas.openxmlformats.org/officeDocument/2006/relationships/hyperlink" Target="http://laborcommission.utah.gov/" TargetMode="External"/><Relationship Id="rId296" Type="http://schemas.openxmlformats.org/officeDocument/2006/relationships/hyperlink" Target="http://secure.utah.gov/mvr-personal/" TargetMode="External"/><Relationship Id="rId39" Type="http://schemas.openxmlformats.org/officeDocument/2006/relationships/hyperlink" Target="http://healthequity.utah.gov/" TargetMode="External"/><Relationship Id="rId174" Type="http://schemas.openxmlformats.org/officeDocument/2006/relationships/hyperlink" Target="https://socialmedia.utah.gov" TargetMode="External"/><Relationship Id="rId295" Type="http://schemas.openxmlformats.org/officeDocument/2006/relationships/hyperlink" Target="https://archives.utah.gov" TargetMode="External"/><Relationship Id="rId38" Type="http://schemas.openxmlformats.org/officeDocument/2006/relationships/hyperlink" Target="https://appletree.utah.gov" TargetMode="External"/><Relationship Id="rId173" Type="http://schemas.openxmlformats.org/officeDocument/2006/relationships/hyperlink" Target="https://healthcarestats.utah.gov" TargetMode="External"/><Relationship Id="rId294" Type="http://schemas.openxmlformats.org/officeDocument/2006/relationships/hyperlink" Target="https://landtrustsadvocacy.utah.gov" TargetMode="External"/><Relationship Id="rId179" Type="http://schemas.openxmlformats.org/officeDocument/2006/relationships/hyperlink" Target="https://zerofatalities.com/driving-log" TargetMode="External"/><Relationship Id="rId178" Type="http://schemas.openxmlformats.org/officeDocument/2006/relationships/hyperlink" Target="http://wic.utah.gov" TargetMode="External"/><Relationship Id="rId299" Type="http://schemas.openxmlformats.org/officeDocument/2006/relationships/hyperlink" Target="https://dps.utah.gov" TargetMode="External"/><Relationship Id="rId177" Type="http://schemas.openxmlformats.org/officeDocument/2006/relationships/hyperlink" Target="http://wic.utah.gov" TargetMode="External"/><Relationship Id="rId298" Type="http://schemas.openxmlformats.org/officeDocument/2006/relationships/hyperlink" Target="http://dps.utah.gov" TargetMode="External"/><Relationship Id="rId20" Type="http://schemas.openxmlformats.org/officeDocument/2006/relationships/hyperlink" Target="https://incometax.utah.gov" TargetMode="External"/><Relationship Id="rId22" Type="http://schemas.openxmlformats.org/officeDocument/2006/relationships/hyperlink" Target="https://dmv.utah.gov" TargetMode="External"/><Relationship Id="rId21" Type="http://schemas.openxmlformats.org/officeDocument/2006/relationships/hyperlink" Target="https://mved.utah.gov" TargetMode="External"/><Relationship Id="rId24" Type="http://schemas.openxmlformats.org/officeDocument/2006/relationships/hyperlink" Target="https://naturalresources.utah.gov" TargetMode="External"/><Relationship Id="rId23" Type="http://schemas.openxmlformats.org/officeDocument/2006/relationships/hyperlink" Target="https://tax.utah.gov" TargetMode="External"/><Relationship Id="rId26" Type="http://schemas.openxmlformats.org/officeDocument/2006/relationships/hyperlink" Target="https://mydps.utah.gov" TargetMode="External"/><Relationship Id="rId25" Type="http://schemas.openxmlformats.org/officeDocument/2006/relationships/hyperlink" Target="https://flag.utah.gov" TargetMode="External"/><Relationship Id="rId28" Type="http://schemas.openxmlformats.org/officeDocument/2006/relationships/hyperlink" Target="http://coveringkids.utah.gov" TargetMode="External"/><Relationship Id="rId27" Type="http://schemas.openxmlformats.org/officeDocument/2006/relationships/hyperlink" Target="https://floodhazards.utah.gov" TargetMode="External"/><Relationship Id="rId29" Type="http://schemas.openxmlformats.org/officeDocument/2006/relationships/hyperlink" Target="https://coveringkids.utah.gov" TargetMode="External"/><Relationship Id="rId11" Type="http://schemas.openxmlformats.org/officeDocument/2006/relationships/hyperlink" Target="https://admin.commerce.utah.gov" TargetMode="External"/><Relationship Id="rId10" Type="http://schemas.openxmlformats.org/officeDocument/2006/relationships/hyperlink" Target="https://daqpermitting.utah.gov" TargetMode="External"/><Relationship Id="rId13" Type="http://schemas.openxmlformats.org/officeDocument/2006/relationships/hyperlink" Target="https://udotinput.utah.gov" TargetMode="External"/><Relationship Id="rId12" Type="http://schemas.openxmlformats.org/officeDocument/2006/relationships/hyperlink" Target="https://blog.commerce.utah.gov" TargetMode="External"/><Relationship Id="rId15" Type="http://schemas.openxmlformats.org/officeDocument/2006/relationships/hyperlink" Target="https://jobdesc.utah.gov" TargetMode="External"/><Relationship Id="rId198" Type="http://schemas.openxmlformats.org/officeDocument/2006/relationships/hyperlink" Target="https://immunize.utah.gov" TargetMode="External"/><Relationship Id="rId14" Type="http://schemas.openxmlformats.org/officeDocument/2006/relationships/hyperlink" Target="https://udotinput.utah.gov/bccstudy" TargetMode="External"/><Relationship Id="rId197" Type="http://schemas.openxmlformats.org/officeDocument/2006/relationships/hyperlink" Target="http://immunize.utah.gov" TargetMode="External"/><Relationship Id="rId17" Type="http://schemas.openxmlformats.org/officeDocument/2006/relationships/hyperlink" Target="https://travel.utah.gov" TargetMode="External"/><Relationship Id="rId196" Type="http://schemas.openxmlformats.org/officeDocument/2006/relationships/hyperlink" Target="https://gomb.utah.gov" TargetMode="External"/><Relationship Id="rId16" Type="http://schemas.openxmlformats.org/officeDocument/2006/relationships/hyperlink" Target="https://beready.utah.gov" TargetMode="External"/><Relationship Id="rId195" Type="http://schemas.openxmlformats.org/officeDocument/2006/relationships/hyperlink" Target="https://secure.utah.gov/spot/" TargetMode="External"/><Relationship Id="rId19" Type="http://schemas.openxmlformats.org/officeDocument/2006/relationships/hyperlink" Target="https://propertytax.utah.gov" TargetMode="External"/><Relationship Id="rId18" Type="http://schemas.openxmlformats.org/officeDocument/2006/relationships/hyperlink" Target="https://cra.utah.gov" TargetMode="External"/><Relationship Id="rId199" Type="http://schemas.openxmlformats.org/officeDocument/2006/relationships/hyperlink" Target="https://secure.utah.gov/dlexams" TargetMode="External"/><Relationship Id="rId84" Type="http://schemas.openxmlformats.org/officeDocument/2006/relationships/hyperlink" Target="https://inlandportauthority.utah.gov" TargetMode="External"/><Relationship Id="rId83" Type="http://schemas.openxmlformats.org/officeDocument/2006/relationships/hyperlink" Target="https://artsandmuseums.utah.gov" TargetMode="External"/><Relationship Id="rId86" Type="http://schemas.openxmlformats.org/officeDocument/2006/relationships/hyperlink" Target="https://blindlibrary.utah.gov" TargetMode="External"/><Relationship Id="rId85" Type="http://schemas.openxmlformats.org/officeDocument/2006/relationships/hyperlink" Target="http://blindlibrary.utah.gov" TargetMode="External"/><Relationship Id="rId88" Type="http://schemas.openxmlformats.org/officeDocument/2006/relationships/hyperlink" Target="https://history.utah.gov" TargetMode="External"/><Relationship Id="rId150" Type="http://schemas.openxmlformats.org/officeDocument/2006/relationships/hyperlink" Target="http://watershed.utah.gov" TargetMode="External"/><Relationship Id="rId271" Type="http://schemas.openxmlformats.org/officeDocument/2006/relationships/hyperlink" Target="https://ogm.utah.gov" TargetMode="External"/><Relationship Id="rId87" Type="http://schemas.openxmlformats.org/officeDocument/2006/relationships/hyperlink" Target="https://bookmobiles.utah.gov" TargetMode="External"/><Relationship Id="rId270" Type="http://schemas.openxmlformats.org/officeDocument/2006/relationships/hyperlink" Target="http://ogm.utah.gov" TargetMode="External"/><Relationship Id="rId89" Type="http://schemas.openxmlformats.org/officeDocument/2006/relationships/hyperlink" Target="https://historytogo.utah.gov" TargetMode="External"/><Relationship Id="rId80" Type="http://schemas.openxmlformats.org/officeDocument/2006/relationships/hyperlink" Target="http://attorneygeneral.utah.gov" TargetMode="External"/><Relationship Id="rId82" Type="http://schemas.openxmlformats.org/officeDocument/2006/relationships/hyperlink" Target="http://justice.utah.gov/" TargetMode="External"/><Relationship Id="rId81" Type="http://schemas.openxmlformats.org/officeDocument/2006/relationships/hyperlink" Target="http://crimevictim.utah.gov/" TargetMode="External"/><Relationship Id="rId1" Type="http://schemas.openxmlformats.org/officeDocument/2006/relationships/hyperlink" Target="https://offeracceptance.utah.gov/" TargetMode="External"/><Relationship Id="rId2" Type="http://schemas.openxmlformats.org/officeDocument/2006/relationships/hyperlink" Target="https://uphp.utah.gov/" TargetMode="External"/><Relationship Id="rId3" Type="http://schemas.openxmlformats.org/officeDocument/2006/relationships/hyperlink" Target="https://museumsocialimpact.org" TargetMode="External"/><Relationship Id="rId149" Type="http://schemas.openxmlformats.org/officeDocument/2006/relationships/hyperlink" Target="https://healthassessment.utah.gov" TargetMode="External"/><Relationship Id="rId4" Type="http://schemas.openxmlformats.org/officeDocument/2006/relationships/hyperlink" Target="https://trucksmart.udot.utah.gov" TargetMode="External"/><Relationship Id="rId148" Type="http://schemas.openxmlformats.org/officeDocument/2006/relationships/hyperlink" Target="http://healthassessment.utah.gov" TargetMode="External"/><Relationship Id="rId269" Type="http://schemas.openxmlformats.org/officeDocument/2006/relationships/hyperlink" Target="https://utahstatecapitol.utah.gov" TargetMode="External"/><Relationship Id="rId9" Type="http://schemas.openxmlformats.org/officeDocument/2006/relationships/hyperlink" Target="https://community.utah.gov" TargetMode="External"/><Relationship Id="rId143" Type="http://schemas.openxmlformats.org/officeDocument/2006/relationships/hyperlink" Target="http://jjys.utah.gov" TargetMode="External"/><Relationship Id="rId264" Type="http://schemas.openxmlformats.org/officeDocument/2006/relationships/hyperlink" Target="http://familyhealth.utah.gov" TargetMode="External"/><Relationship Id="rId142" Type="http://schemas.openxmlformats.org/officeDocument/2006/relationships/hyperlink" Target="http://jjys.utah.gov" TargetMode="External"/><Relationship Id="rId263" Type="http://schemas.openxmlformats.org/officeDocument/2006/relationships/hyperlink" Target="https://csro.utah.gov" TargetMode="External"/><Relationship Id="rId141" Type="http://schemas.openxmlformats.org/officeDocument/2006/relationships/hyperlink" Target="http://energy.utah.gov" TargetMode="External"/><Relationship Id="rId262" Type="http://schemas.openxmlformats.org/officeDocument/2006/relationships/hyperlink" Target="https://opendata.utah.gov/" TargetMode="External"/><Relationship Id="rId140" Type="http://schemas.openxmlformats.org/officeDocument/2006/relationships/hyperlink" Target="https://idc.utah.gov/" TargetMode="External"/><Relationship Id="rId261" Type="http://schemas.openxmlformats.org/officeDocument/2006/relationships/hyperlink" Target="https://daas.utah.gov" TargetMode="External"/><Relationship Id="rId5" Type="http://schemas.openxmlformats.org/officeDocument/2006/relationships/hyperlink" Target="https://zerofatalities.com" TargetMode="External"/><Relationship Id="rId147" Type="http://schemas.openxmlformats.org/officeDocument/2006/relationships/hyperlink" Target="https://dcfs.utah.gov" TargetMode="External"/><Relationship Id="rId268" Type="http://schemas.openxmlformats.org/officeDocument/2006/relationships/hyperlink" Target="https://mothertobaby.utah.gov" TargetMode="External"/><Relationship Id="rId6" Type="http://schemas.openxmlformats.org/officeDocument/2006/relationships/hyperlink" Target="https://deq.utah.gov" TargetMode="External"/><Relationship Id="rId146" Type="http://schemas.openxmlformats.org/officeDocument/2006/relationships/hyperlink" Target="http://dcfs.utah.gov" TargetMode="External"/><Relationship Id="rId267" Type="http://schemas.openxmlformats.org/officeDocument/2006/relationships/hyperlink" Target="https://hwic.utah.gov" TargetMode="External"/><Relationship Id="rId7" Type="http://schemas.openxmlformats.org/officeDocument/2006/relationships/hyperlink" Target="https://air.utah.gov" TargetMode="External"/><Relationship Id="rId145" Type="http://schemas.openxmlformats.org/officeDocument/2006/relationships/hyperlink" Target="http://dspd.utah.gov" TargetMode="External"/><Relationship Id="rId266" Type="http://schemas.openxmlformats.org/officeDocument/2006/relationships/hyperlink" Target="http://hwic.utah.gov" TargetMode="External"/><Relationship Id="rId8" Type="http://schemas.openxmlformats.org/officeDocument/2006/relationships/hyperlink" Target="https://cceintranet.utah.gov" TargetMode="External"/><Relationship Id="rId144" Type="http://schemas.openxmlformats.org/officeDocument/2006/relationships/hyperlink" Target="http://dspd.utah.gov" TargetMode="External"/><Relationship Id="rId265" Type="http://schemas.openxmlformats.org/officeDocument/2006/relationships/hyperlink" Target="https://familyhealth.utah.gov" TargetMode="External"/><Relationship Id="rId73" Type="http://schemas.openxmlformats.org/officeDocument/2006/relationships/hyperlink" Target="https://childcarelicensing.utah.gov" TargetMode="External"/><Relationship Id="rId72" Type="http://schemas.openxmlformats.org/officeDocument/2006/relationships/hyperlink" Target="https://business.utah.gov" TargetMode="External"/><Relationship Id="rId75" Type="http://schemas.openxmlformats.org/officeDocument/2006/relationships/hyperlink" Target="http://adoptionregistry.utah.gov" TargetMode="External"/><Relationship Id="rId74" Type="http://schemas.openxmlformats.org/officeDocument/2006/relationships/hyperlink" Target="https://archives.utah.gov" TargetMode="External"/><Relationship Id="rId77" Type="http://schemas.openxmlformats.org/officeDocument/2006/relationships/hyperlink" Target="https://oig.utah.gov" TargetMode="External"/><Relationship Id="rId260" Type="http://schemas.openxmlformats.org/officeDocument/2006/relationships/hyperlink" Target="http://daas.utah.gov" TargetMode="External"/><Relationship Id="rId76" Type="http://schemas.openxmlformats.org/officeDocument/2006/relationships/hyperlink" Target="https://adoptionregistry.utah.gov" TargetMode="External"/><Relationship Id="rId79" Type="http://schemas.openxmlformats.org/officeDocument/2006/relationships/hyperlink" Target="https://treasurer.utah.gov" TargetMode="External"/><Relationship Id="rId78" Type="http://schemas.openxmlformats.org/officeDocument/2006/relationships/hyperlink" Target="https://ucsfa.utah.gov/" TargetMode="External"/><Relationship Id="rId71" Type="http://schemas.openxmlformats.org/officeDocument/2006/relationships/hyperlink" Target="http://business.utah.gov" TargetMode="External"/><Relationship Id="rId70" Type="http://schemas.openxmlformats.org/officeDocument/2006/relationships/hyperlink" Target="https://greatsaltlake.utah.gov" TargetMode="External"/><Relationship Id="rId139" Type="http://schemas.openxmlformats.org/officeDocument/2006/relationships/hyperlink" Target="http://ush.utah.gov" TargetMode="External"/><Relationship Id="rId138" Type="http://schemas.openxmlformats.org/officeDocument/2006/relationships/hyperlink" Target="http://ush.utah.gov" TargetMode="External"/><Relationship Id="rId259" Type="http://schemas.openxmlformats.org/officeDocument/2006/relationships/hyperlink" Target="https://secured.utah.gov/ut-archives/Forms/Page/ut-archives/orp/1" TargetMode="External"/><Relationship Id="rId137" Type="http://schemas.openxmlformats.org/officeDocument/2006/relationships/hyperlink" Target="http://dsamh.utah.gov" TargetMode="External"/><Relationship Id="rId258" Type="http://schemas.openxmlformats.org/officeDocument/2006/relationships/hyperlink" Target="https://epi.utah.gov" TargetMode="External"/><Relationship Id="rId132" Type="http://schemas.openxmlformats.org/officeDocument/2006/relationships/hyperlink" Target="http://hivandme.com" TargetMode="External"/><Relationship Id="rId253" Type="http://schemas.openxmlformats.org/officeDocument/2006/relationships/hyperlink" Target="http://adolescenthealth.utah.gov" TargetMode="External"/><Relationship Id="rId131" Type="http://schemas.openxmlformats.org/officeDocument/2006/relationships/hyperlink" Target="https://userve.utah.gov/" TargetMode="External"/><Relationship Id="rId252" Type="http://schemas.openxmlformats.org/officeDocument/2006/relationships/hyperlink" Target="https://mybusiness.utah.gov" TargetMode="External"/><Relationship Id="rId130" Type="http://schemas.openxmlformats.org/officeDocument/2006/relationships/hyperlink" Target="https://heal.utah.gov" TargetMode="External"/><Relationship Id="rId251" Type="http://schemas.openxmlformats.org/officeDocument/2006/relationships/hyperlink" Target="http://mybusiness.utah.gov" TargetMode="External"/><Relationship Id="rId250" Type="http://schemas.openxmlformats.org/officeDocument/2006/relationships/hyperlink" Target="https://ruralhealth.utah.gov" TargetMode="External"/><Relationship Id="rId136" Type="http://schemas.openxmlformats.org/officeDocument/2006/relationships/hyperlink" Target="https://sumh.utah.gov" TargetMode="External"/><Relationship Id="rId257" Type="http://schemas.openxmlformats.org/officeDocument/2006/relationships/hyperlink" Target="http://epi.utah.gov" TargetMode="External"/><Relationship Id="rId135" Type="http://schemas.openxmlformats.org/officeDocument/2006/relationships/hyperlink" Target="http://sumh.utah.gov" TargetMode="External"/><Relationship Id="rId256" Type="http://schemas.openxmlformats.org/officeDocument/2006/relationships/hyperlink" Target="https://socialharms.utah.gov" TargetMode="External"/><Relationship Id="rId134" Type="http://schemas.openxmlformats.org/officeDocument/2006/relationships/hyperlink" Target="https://relay.utah.gov" TargetMode="External"/><Relationship Id="rId255" Type="http://schemas.openxmlformats.org/officeDocument/2006/relationships/hyperlink" Target="http://socialharms.utah.gov" TargetMode="External"/><Relationship Id="rId133" Type="http://schemas.openxmlformats.org/officeDocument/2006/relationships/hyperlink" Target="https://hivandme.com" TargetMode="External"/><Relationship Id="rId254" Type="http://schemas.openxmlformats.org/officeDocument/2006/relationships/hyperlink" Target="https://adolescenthealth.utah.gov" TargetMode="External"/><Relationship Id="rId62" Type="http://schemas.openxmlformats.org/officeDocument/2006/relationships/hyperlink" Target="http://commerce.utah.gov" TargetMode="External"/><Relationship Id="rId61" Type="http://schemas.openxmlformats.org/officeDocument/2006/relationships/hyperlink" Target="http://dwre-utahdnr.opendata.arcgis.com/" TargetMode="External"/><Relationship Id="rId64" Type="http://schemas.openxmlformats.org/officeDocument/2006/relationships/hyperlink" Target="https://dcp.utah.gov" TargetMode="External"/><Relationship Id="rId63" Type="http://schemas.openxmlformats.org/officeDocument/2006/relationships/hyperlink" Target="http://corporations.utah.gov" TargetMode="External"/><Relationship Id="rId66" Type="http://schemas.openxmlformats.org/officeDocument/2006/relationships/hyperlink" Target="http://dcp.utah.gov/" TargetMode="External"/><Relationship Id="rId172" Type="http://schemas.openxmlformats.org/officeDocument/2006/relationships/hyperlink" Target="http://healthcarestats.utah.gov" TargetMode="External"/><Relationship Id="rId293" Type="http://schemas.openxmlformats.org/officeDocument/2006/relationships/hyperlink" Target="https://govops.utah.gov" TargetMode="External"/><Relationship Id="rId65" Type="http://schemas.openxmlformats.org/officeDocument/2006/relationships/hyperlink" Target="http://realestate.utah.gov" TargetMode="External"/><Relationship Id="rId171" Type="http://schemas.openxmlformats.org/officeDocument/2006/relationships/hyperlink" Target="https://utahsafehaven.org" TargetMode="External"/><Relationship Id="rId292" Type="http://schemas.openxmlformats.org/officeDocument/2006/relationships/hyperlink" Target="https://dts.utah.gov" TargetMode="External"/><Relationship Id="rId68" Type="http://schemas.openxmlformats.org/officeDocument/2006/relationships/hyperlink" Target="http://securities.utah.gov" TargetMode="External"/><Relationship Id="rId170" Type="http://schemas.openxmlformats.org/officeDocument/2006/relationships/hyperlink" Target="http://utahsafehaven.org" TargetMode="External"/><Relationship Id="rId291" Type="http://schemas.openxmlformats.org/officeDocument/2006/relationships/hyperlink" Target="https://gateway.utah.gov" TargetMode="External"/><Relationship Id="rId67" Type="http://schemas.openxmlformats.org/officeDocument/2006/relationships/hyperlink" Target="http://dopl.utah.gov" TargetMode="External"/><Relationship Id="rId290" Type="http://schemas.openxmlformats.org/officeDocument/2006/relationships/hyperlink" Target="https://risk.utah.gov" TargetMode="External"/><Relationship Id="rId60" Type="http://schemas.openxmlformats.org/officeDocument/2006/relationships/hyperlink" Target="http://propertyrights.utah.gov" TargetMode="External"/><Relationship Id="rId165" Type="http://schemas.openxmlformats.org/officeDocument/2006/relationships/hyperlink" Target="http://www.utah.gov" TargetMode="External"/><Relationship Id="rId286" Type="http://schemas.openxmlformats.org/officeDocument/2006/relationships/hyperlink" Target="https://dhrm.utah.gov" TargetMode="External"/><Relationship Id="rId69" Type="http://schemas.openxmlformats.org/officeDocument/2006/relationships/hyperlink" Target="http://dpu.utah.gov" TargetMode="External"/><Relationship Id="rId164" Type="http://schemas.openxmlformats.org/officeDocument/2006/relationships/hyperlink" Target="http://www.utah.gov" TargetMode="External"/><Relationship Id="rId285" Type="http://schemas.openxmlformats.org/officeDocument/2006/relationships/hyperlink" Target="https://purchasing.utah.gov" TargetMode="External"/><Relationship Id="rId163" Type="http://schemas.openxmlformats.org/officeDocument/2006/relationships/hyperlink" Target="https://thriving.utah.gov" TargetMode="External"/><Relationship Id="rId284" Type="http://schemas.openxmlformats.org/officeDocument/2006/relationships/hyperlink" Target="https://rules.utah.gov" TargetMode="External"/><Relationship Id="rId162" Type="http://schemas.openxmlformats.org/officeDocument/2006/relationships/hyperlink" Target="https://recreation.utah.gov" TargetMode="External"/><Relationship Id="rId283" Type="http://schemas.openxmlformats.org/officeDocument/2006/relationships/hyperlink" Target="https://finance.utah.gov" TargetMode="External"/><Relationship Id="rId169" Type="http://schemas.openxmlformats.org/officeDocument/2006/relationships/hyperlink" Target="http://wildlife.utah.gov" TargetMode="External"/><Relationship Id="rId168" Type="http://schemas.openxmlformats.org/officeDocument/2006/relationships/hyperlink" Target="http://stdofthesea.utah.gov" TargetMode="External"/><Relationship Id="rId289" Type="http://schemas.openxmlformats.org/officeDocument/2006/relationships/hyperlink" Target="https://dfcm.utah.gov" TargetMode="External"/><Relationship Id="rId167" Type="http://schemas.openxmlformats.org/officeDocument/2006/relationships/hyperlink" Target="https://healthyaging.utah.gov" TargetMode="External"/><Relationship Id="rId288" Type="http://schemas.openxmlformats.org/officeDocument/2006/relationships/hyperlink" Target="https://fleet.utah.gov" TargetMode="External"/><Relationship Id="rId166" Type="http://schemas.openxmlformats.org/officeDocument/2006/relationships/hyperlink" Target="http://healthyaging.utah.gov" TargetMode="External"/><Relationship Id="rId287" Type="http://schemas.openxmlformats.org/officeDocument/2006/relationships/hyperlink" Target="https://employees.utah.gov" TargetMode="External"/><Relationship Id="rId51" Type="http://schemas.openxmlformats.org/officeDocument/2006/relationships/hyperlink" Target="http://dwrapps.utah.gov/ram/start2" TargetMode="External"/><Relationship Id="rId50" Type="http://schemas.openxmlformats.org/officeDocument/2006/relationships/hyperlink" Target="https://healthyminds.utah.gov" TargetMode="External"/><Relationship Id="rId53" Type="http://schemas.openxmlformats.org/officeDocument/2006/relationships/hyperlink" Target="https://www.oplr.utah.gov" TargetMode="External"/><Relationship Id="rId52" Type="http://schemas.openxmlformats.org/officeDocument/2006/relationships/hyperlink" Target="https://dwrapps.utah.gov/events" TargetMode="External"/><Relationship Id="rId55" Type="http://schemas.openxmlformats.org/officeDocument/2006/relationships/hyperlink" Target="https://water.utah.gov" TargetMode="External"/><Relationship Id="rId161" Type="http://schemas.openxmlformats.org/officeDocument/2006/relationships/hyperlink" Target="http://recreation.utah.gov" TargetMode="External"/><Relationship Id="rId282" Type="http://schemas.openxmlformats.org/officeDocument/2006/relationships/hyperlink" Target="https://employee.govops.utah.gov" TargetMode="External"/><Relationship Id="rId54" Type="http://schemas.openxmlformats.org/officeDocument/2006/relationships/hyperlink" Target="https://ushpo.utah.gov" TargetMode="External"/><Relationship Id="rId160" Type="http://schemas.openxmlformats.org/officeDocument/2006/relationships/hyperlink" Target="https://cancer.utah.gov" TargetMode="External"/><Relationship Id="rId281" Type="http://schemas.openxmlformats.org/officeDocument/2006/relationships/hyperlink" Target="https://corrections.utah.gov" TargetMode="External"/><Relationship Id="rId57" Type="http://schemas.openxmlformats.org/officeDocument/2006/relationships/hyperlink" Target="http://dhhs.utah.gov" TargetMode="External"/><Relationship Id="rId280" Type="http://schemas.openxmlformats.org/officeDocument/2006/relationships/hyperlink" Target="https://kidsreadytoread.utah.gov" TargetMode="External"/><Relationship Id="rId56" Type="http://schemas.openxmlformats.org/officeDocument/2006/relationships/hyperlink" Target="http://www.conservewater.utah.gov" TargetMode="External"/><Relationship Id="rId159" Type="http://schemas.openxmlformats.org/officeDocument/2006/relationships/hyperlink" Target="http://cancer.utah.gov" TargetMode="External"/><Relationship Id="rId59" Type="http://schemas.openxmlformats.org/officeDocument/2006/relationships/hyperlink" Target="http://www.saferoutesutah.com" TargetMode="External"/><Relationship Id="rId154" Type="http://schemas.openxmlformats.org/officeDocument/2006/relationships/hyperlink" Target="https://medicalcannabis.utah.gov" TargetMode="External"/><Relationship Id="rId275" Type="http://schemas.openxmlformats.org/officeDocument/2006/relationships/hyperlink" Target="http://dementia.utah.gov" TargetMode="External"/><Relationship Id="rId58" Type="http://schemas.openxmlformats.org/officeDocument/2006/relationships/hyperlink" Target="https://dhhs.utah.gov" TargetMode="External"/><Relationship Id="rId153" Type="http://schemas.openxmlformats.org/officeDocument/2006/relationships/hyperlink" Target="http://medicalcannabis.utah.gov" TargetMode="External"/><Relationship Id="rId274" Type="http://schemas.openxmlformats.org/officeDocument/2006/relationships/hyperlink" Target="https://startup.utah.gov" TargetMode="External"/><Relationship Id="rId152" Type="http://schemas.openxmlformats.org/officeDocument/2006/relationships/hyperlink" Target="https://ffsl.utah.gov" TargetMode="External"/><Relationship Id="rId273" Type="http://schemas.openxmlformats.org/officeDocument/2006/relationships/hyperlink" Target="https://safeathome.utah.gov" TargetMode="External"/><Relationship Id="rId151" Type="http://schemas.openxmlformats.org/officeDocument/2006/relationships/hyperlink" Target="https://watershed.utah.gov" TargetMode="External"/><Relationship Id="rId272" Type="http://schemas.openxmlformats.org/officeDocument/2006/relationships/hyperlink" Target="http://safeathome.utah.gov" TargetMode="External"/><Relationship Id="rId158" Type="http://schemas.openxmlformats.org/officeDocument/2006/relationships/hyperlink" Target="https://mihp.utah.gov" TargetMode="External"/><Relationship Id="rId279" Type="http://schemas.openxmlformats.org/officeDocument/2006/relationships/hyperlink" Target="http://kidsreadytoread.utah.gov" TargetMode="External"/><Relationship Id="rId157" Type="http://schemas.openxmlformats.org/officeDocument/2006/relationships/hyperlink" Target="http://mihp.utah.gov" TargetMode="External"/><Relationship Id="rId278" Type="http://schemas.openxmlformats.org/officeDocument/2006/relationships/hyperlink" Target="https://newbornscreening.utah.gov" TargetMode="External"/><Relationship Id="rId156" Type="http://schemas.openxmlformats.org/officeDocument/2006/relationships/hyperlink" Target="https://informedconsent.utah.gov" TargetMode="External"/><Relationship Id="rId277" Type="http://schemas.openxmlformats.org/officeDocument/2006/relationships/hyperlink" Target="http://newbornscreening.utah.gov" TargetMode="External"/><Relationship Id="rId155" Type="http://schemas.openxmlformats.org/officeDocument/2006/relationships/hyperlink" Target="http://informedconsent.utah.gov" TargetMode="External"/><Relationship Id="rId276" Type="http://schemas.openxmlformats.org/officeDocument/2006/relationships/hyperlink" Target="https://dementia.utah.gov" TargetMode="External"/><Relationship Id="rId107" Type="http://schemas.openxmlformats.org/officeDocument/2006/relationships/hyperlink" Target="https://hris.utah.gov" TargetMode="External"/><Relationship Id="rId228" Type="http://schemas.openxmlformats.org/officeDocument/2006/relationships/hyperlink" Target="https://secured.utah.gov/utoutdoorrecdirectory/Forms/Page/utoutdoorrecdirectory/utohvcourse" TargetMode="External"/><Relationship Id="rId349" Type="http://schemas.openxmlformats.org/officeDocument/2006/relationships/hyperlink" Target="https://testbot.utah.gov" TargetMode="External"/><Relationship Id="rId106" Type="http://schemas.openxmlformats.org/officeDocument/2006/relationships/hyperlink" Target="https://sitfo.utah.gov" TargetMode="External"/><Relationship Id="rId227" Type="http://schemas.openxmlformats.org/officeDocument/2006/relationships/hyperlink" Target="https://cism.utah.gov" TargetMode="External"/><Relationship Id="rId348" Type="http://schemas.openxmlformats.org/officeDocument/2006/relationships/hyperlink" Target="https://liveonutah.org" TargetMode="External"/><Relationship Id="rId105" Type="http://schemas.openxmlformats.org/officeDocument/2006/relationships/hyperlink" Target="http://sitfo.utah.gov" TargetMode="External"/><Relationship Id="rId226" Type="http://schemas.openxmlformats.org/officeDocument/2006/relationships/hyperlink" Target="http://cism.utah.gov" TargetMode="External"/><Relationship Id="rId347" Type="http://schemas.openxmlformats.org/officeDocument/2006/relationships/hyperlink" Target="http://liveonutah.org" TargetMode="External"/><Relationship Id="rId104" Type="http://schemas.openxmlformats.org/officeDocument/2006/relationships/hyperlink" Target="https://producesafety.utah.gov" TargetMode="External"/><Relationship Id="rId225" Type="http://schemas.openxmlformats.org/officeDocument/2006/relationships/hyperlink" Target="https://db.corporations.utah.gov/moraa/" TargetMode="External"/><Relationship Id="rId346" Type="http://schemas.openxmlformats.org/officeDocument/2006/relationships/hyperlink" Target="https://highwaysafety.utah.gov" TargetMode="External"/><Relationship Id="rId109" Type="http://schemas.openxmlformats.org/officeDocument/2006/relationships/hyperlink" Target="https://urrt.utah.gov" TargetMode="External"/><Relationship Id="rId108" Type="http://schemas.openxmlformats.org/officeDocument/2006/relationships/hyperlink" Target="http://utahsown.org" TargetMode="External"/><Relationship Id="rId229" Type="http://schemas.openxmlformats.org/officeDocument/2006/relationships/hyperlink" Target="https://secure.utah.gov/ce-provider" TargetMode="External"/><Relationship Id="rId220" Type="http://schemas.openxmlformats.org/officeDocument/2006/relationships/hyperlink" Target="http://secure.utah.gov/ce-public/index.html" TargetMode="External"/><Relationship Id="rId341" Type="http://schemas.openxmlformats.org/officeDocument/2006/relationships/hyperlink" Target="https://my.utah.gov" TargetMode="External"/><Relationship Id="rId340" Type="http://schemas.openxmlformats.org/officeDocument/2006/relationships/hyperlink" Target="http://my.utah.gov" TargetMode="External"/><Relationship Id="rId103" Type="http://schemas.openxmlformats.org/officeDocument/2006/relationships/hyperlink" Target="https://vitalrecords.utah.gov" TargetMode="External"/><Relationship Id="rId224" Type="http://schemas.openxmlformats.org/officeDocument/2006/relationships/hyperlink" Target="https://db.dopl.utah.gov" TargetMode="External"/><Relationship Id="rId345" Type="http://schemas.openxmlformats.org/officeDocument/2006/relationships/hyperlink" Target="https://dem.utah.gov" TargetMode="External"/><Relationship Id="rId102" Type="http://schemas.openxmlformats.org/officeDocument/2006/relationships/hyperlink" Target="http://vitalrecords.utah.gov" TargetMode="External"/><Relationship Id="rId223" Type="http://schemas.openxmlformats.org/officeDocument/2006/relationships/hyperlink" Target="https://db.securities.utah.gov" TargetMode="External"/><Relationship Id="rId344" Type="http://schemas.openxmlformats.org/officeDocument/2006/relationships/hyperlink" Target="https://sbi.utah.gov/" TargetMode="External"/><Relationship Id="rId101" Type="http://schemas.openxmlformats.org/officeDocument/2006/relationships/hyperlink" Target="http://dlbc.utah.gov" TargetMode="External"/><Relationship Id="rId222" Type="http://schemas.openxmlformats.org/officeDocument/2006/relationships/hyperlink" Target="https://db.corporations.gov/gia/" TargetMode="External"/><Relationship Id="rId343" Type="http://schemas.openxmlformats.org/officeDocument/2006/relationships/hyperlink" Target="https://dhhstestdataonly.utah.gov" TargetMode="External"/><Relationship Id="rId100" Type="http://schemas.openxmlformats.org/officeDocument/2006/relationships/hyperlink" Target="http://dlbc.utah.gov" TargetMode="External"/><Relationship Id="rId221" Type="http://schemas.openxmlformats.org/officeDocument/2006/relationships/hyperlink" Target="https://bewise.utah.gov" TargetMode="External"/><Relationship Id="rId342" Type="http://schemas.openxmlformats.org/officeDocument/2006/relationships/hyperlink" Target="https://connecting.utah.gov" TargetMode="External"/><Relationship Id="rId217" Type="http://schemas.openxmlformats.org/officeDocument/2006/relationships/hyperlink" Target="https://secure.utah.gov/concealed-firearms/" TargetMode="External"/><Relationship Id="rId338" Type="http://schemas.openxmlformats.org/officeDocument/2006/relationships/hyperlink" Target="http://uci.utah.gov" TargetMode="External"/><Relationship Id="rId216" Type="http://schemas.openxmlformats.org/officeDocument/2006/relationships/hyperlink" Target="http://www.udot.utah.gov/udot/" TargetMode="External"/><Relationship Id="rId337" Type="http://schemas.openxmlformats.org/officeDocument/2006/relationships/hyperlink" Target="https://boards.utah.gov/s/" TargetMode="External"/><Relationship Id="rId215" Type="http://schemas.openxmlformats.org/officeDocument/2006/relationships/hyperlink" Target="https://secure.utah.gov/notary/" TargetMode="External"/><Relationship Id="rId336" Type="http://schemas.openxmlformats.org/officeDocument/2006/relationships/hyperlink" Target="https://www.ai.utah.gov" TargetMode="External"/><Relationship Id="rId214" Type="http://schemas.openxmlformats.org/officeDocument/2006/relationships/hyperlink" Target="https://secure.utah.gov/vitalrecords/" TargetMode="External"/><Relationship Id="rId335" Type="http://schemas.openxmlformats.org/officeDocument/2006/relationships/hyperlink" Target="https://www.brands.utah.gov" TargetMode="External"/><Relationship Id="rId219" Type="http://schemas.openxmlformats.org/officeDocument/2006/relationships/hyperlink" Target="https://asthma.utah.gov" TargetMode="External"/><Relationship Id="rId218" Type="http://schemas.openxmlformats.org/officeDocument/2006/relationships/hyperlink" Target="http://asthma.utah.gov" TargetMode="External"/><Relationship Id="rId339" Type="http://schemas.openxmlformats.org/officeDocument/2006/relationships/hyperlink" Target="https://uci.utah.gov" TargetMode="External"/><Relationship Id="rId330" Type="http://schemas.openxmlformats.org/officeDocument/2006/relationships/hyperlink" Target="https://dashboard.zerofatalities.com" TargetMode="External"/><Relationship Id="rId213" Type="http://schemas.openxmlformats.org/officeDocument/2006/relationships/hyperlink" Target="http://secure.utah.gov/vitalrecords" TargetMode="External"/><Relationship Id="rId334" Type="http://schemas.openxmlformats.org/officeDocument/2006/relationships/hyperlink" Target="http://brands.utah.gov" TargetMode="External"/><Relationship Id="rId212" Type="http://schemas.openxmlformats.org/officeDocument/2006/relationships/hyperlink" Target="https://vote.utah.gov/" TargetMode="External"/><Relationship Id="rId333" Type="http://schemas.openxmlformats.org/officeDocument/2006/relationships/hyperlink" Target="https://dld.utah.gov" TargetMode="External"/><Relationship Id="rId211" Type="http://schemas.openxmlformats.org/officeDocument/2006/relationships/hyperlink" Target="https://secure.utah.gov/dhr-pi" TargetMode="External"/><Relationship Id="rId332" Type="http://schemas.openxmlformats.org/officeDocument/2006/relationships/hyperlink" Target="https://graymatters.utah.gov" TargetMode="External"/><Relationship Id="rId210" Type="http://schemas.openxmlformats.org/officeDocument/2006/relationships/hyperlink" Target="https://vipp.utah.gov" TargetMode="External"/><Relationship Id="rId331" Type="http://schemas.openxmlformats.org/officeDocument/2006/relationships/hyperlink" Target="http://graymatters.utah.gov" TargetMode="External"/><Relationship Id="rId129" Type="http://schemas.openxmlformats.org/officeDocument/2006/relationships/hyperlink" Target="http://heal.utah.gov" TargetMode="External"/><Relationship Id="rId128" Type="http://schemas.openxmlformats.org/officeDocument/2006/relationships/hyperlink" Target="https://uddc.utah.gov" TargetMode="External"/><Relationship Id="rId249" Type="http://schemas.openxmlformats.org/officeDocument/2006/relationships/hyperlink" Target="http://ruralhealth.utah.gov" TargetMode="External"/><Relationship Id="rId127" Type="http://schemas.openxmlformats.org/officeDocument/2006/relationships/hyperlink" Target="http://uddc.utah.gov" TargetMode="External"/><Relationship Id="rId248" Type="http://schemas.openxmlformats.org/officeDocument/2006/relationships/hyperlink" Target="http://rdcc.utah.gov" TargetMode="External"/><Relationship Id="rId126" Type="http://schemas.openxmlformats.org/officeDocument/2006/relationships/hyperlink" Target="https://www.utahddcouncil.org/" TargetMode="External"/><Relationship Id="rId247" Type="http://schemas.openxmlformats.org/officeDocument/2006/relationships/hyperlink" Target="http://wildawareutah.org" TargetMode="External"/><Relationship Id="rId121" Type="http://schemas.openxmlformats.org/officeDocument/2006/relationships/hyperlink" Target="https://stem.utah.gov" TargetMode="External"/><Relationship Id="rId242" Type="http://schemas.openxmlformats.org/officeDocument/2006/relationships/hyperlink" Target="http://psc.utah.gov" TargetMode="External"/><Relationship Id="rId363" Type="http://schemas.openxmlformats.org/officeDocument/2006/relationships/drawing" Target="../drawings/drawing3.xml"/><Relationship Id="rId120" Type="http://schemas.openxmlformats.org/officeDocument/2006/relationships/hyperlink" Target="https://onlinelibrary.utah.gov" TargetMode="External"/><Relationship Id="rId241" Type="http://schemas.openxmlformats.org/officeDocument/2006/relationships/hyperlink" Target="https://secure.utah.gov/ivs/" TargetMode="External"/><Relationship Id="rId362" Type="http://schemas.openxmlformats.org/officeDocument/2006/relationships/hyperlink" Target="https://design-system-sandbox.utah.gov" TargetMode="External"/><Relationship Id="rId240" Type="http://schemas.openxmlformats.org/officeDocument/2006/relationships/hyperlink" Target="https://dem.utah.gov" TargetMode="External"/><Relationship Id="rId361" Type="http://schemas.openxmlformats.org/officeDocument/2006/relationships/hyperlink" Target="https://waterfunding.utah.gov" TargetMode="External"/><Relationship Id="rId360" Type="http://schemas.openxmlformats.org/officeDocument/2006/relationships/hyperlink" Target="https://housing.utah.gov" TargetMode="External"/><Relationship Id="rId125" Type="http://schemas.openxmlformats.org/officeDocument/2006/relationships/hyperlink" Target="https://teamdhhs.utah.gov" TargetMode="External"/><Relationship Id="rId246" Type="http://schemas.openxmlformats.org/officeDocument/2006/relationships/hyperlink" Target="https://coronavirus.utah.gov" TargetMode="External"/><Relationship Id="rId124" Type="http://schemas.openxmlformats.org/officeDocument/2006/relationships/hyperlink" Target="http://teamdhhs.utah.gov" TargetMode="External"/><Relationship Id="rId245" Type="http://schemas.openxmlformats.org/officeDocument/2006/relationships/hyperlink" Target="http://judicialvacancy.utah.gov/" TargetMode="External"/><Relationship Id="rId123" Type="http://schemas.openxmlformats.org/officeDocument/2006/relationships/hyperlink" Target="https://chip.utah.gov" TargetMode="External"/><Relationship Id="rId244" Type="http://schemas.openxmlformats.org/officeDocument/2006/relationships/hyperlink" Target="http://disclosures.utah.gov" TargetMode="External"/><Relationship Id="rId122" Type="http://schemas.openxmlformats.org/officeDocument/2006/relationships/hyperlink" Target="http://chip.utah.gov" TargetMode="External"/><Relationship Id="rId243" Type="http://schemas.openxmlformats.org/officeDocument/2006/relationships/hyperlink" Target="https://secure.utah.gov/warrants/" TargetMode="External"/><Relationship Id="rId95" Type="http://schemas.openxmlformats.org/officeDocument/2006/relationships/hyperlink" Target="https://hazards.utah.gov" TargetMode="External"/><Relationship Id="rId94" Type="http://schemas.openxmlformats.org/officeDocument/2006/relationships/hyperlink" Target="https://docsearch.utah.gov" TargetMode="External"/><Relationship Id="rId97" Type="http://schemas.openxmlformats.org/officeDocument/2006/relationships/hyperlink" Target="https://patientsafety.utah.gov" TargetMode="External"/><Relationship Id="rId96" Type="http://schemas.openxmlformats.org/officeDocument/2006/relationships/hyperlink" Target="http://patientsafety.utah.gov" TargetMode="External"/><Relationship Id="rId99" Type="http://schemas.openxmlformats.org/officeDocument/2006/relationships/hyperlink" Target="http://uphl.utah.gov/" TargetMode="External"/><Relationship Id="rId98" Type="http://schemas.openxmlformats.org/officeDocument/2006/relationships/hyperlink" Target="http://uphl.utah.gov" TargetMode="External"/><Relationship Id="rId91" Type="http://schemas.openxmlformats.org/officeDocument/2006/relationships/hyperlink" Target="http://usdc.utah.gov" TargetMode="External"/><Relationship Id="rId90" Type="http://schemas.openxmlformats.org/officeDocument/2006/relationships/hyperlink" Target="http://usdc.utah.gov" TargetMode="External"/><Relationship Id="rId93" Type="http://schemas.openxmlformats.org/officeDocument/2006/relationships/hyperlink" Target="http://docsearch.utah.gov" TargetMode="External"/><Relationship Id="rId92" Type="http://schemas.openxmlformats.org/officeDocument/2006/relationships/hyperlink" Target="https://ag.utah.gov" TargetMode="External"/><Relationship Id="rId118" Type="http://schemas.openxmlformats.org/officeDocument/2006/relationships/hyperlink" Target="https://indian.utah.gov/" TargetMode="External"/><Relationship Id="rId239" Type="http://schemas.openxmlformats.org/officeDocument/2006/relationships/hyperlink" Target="http://auditor.utah.gov" TargetMode="External"/><Relationship Id="rId117" Type="http://schemas.openxmlformats.org/officeDocument/2006/relationships/hyperlink" Target="http://library.utah.gov" TargetMode="External"/><Relationship Id="rId238" Type="http://schemas.openxmlformats.org/officeDocument/2006/relationships/hyperlink" Target="https://secure.utah.gov/station/" TargetMode="External"/><Relationship Id="rId359" Type="http://schemas.openxmlformats.org/officeDocument/2006/relationships/hyperlink" Target="https://forensicservices.utah.gov" TargetMode="External"/><Relationship Id="rId116" Type="http://schemas.openxmlformats.org/officeDocument/2006/relationships/hyperlink" Target="https://catchtheanswers.utah.gov" TargetMode="External"/><Relationship Id="rId237" Type="http://schemas.openxmlformats.org/officeDocument/2006/relationships/hyperlink" Target="http://utah.gov/pmn" TargetMode="External"/><Relationship Id="rId358" Type="http://schemas.openxmlformats.org/officeDocument/2006/relationships/hyperlink" Target="https://uhp.utah.gov/" TargetMode="External"/><Relationship Id="rId115" Type="http://schemas.openxmlformats.org/officeDocument/2006/relationships/hyperlink" Target="http://catchtheanswers.utah.gov" TargetMode="External"/><Relationship Id="rId236" Type="http://schemas.openxmlformats.org/officeDocument/2006/relationships/hyperlink" Target="https://secure.utah.gov/rer/rer" TargetMode="External"/><Relationship Id="rId357" Type="http://schemas.openxmlformats.org/officeDocument/2006/relationships/hyperlink" Target="https://sites.google.com/utah.gov/udaf-employee-resources" TargetMode="External"/><Relationship Id="rId119" Type="http://schemas.openxmlformats.org/officeDocument/2006/relationships/hyperlink" Target="https://multicultural.utah.gov" TargetMode="External"/><Relationship Id="rId110" Type="http://schemas.openxmlformats.org/officeDocument/2006/relationships/hyperlink" Target="http://dhrmemployee.utah.gov" TargetMode="External"/><Relationship Id="rId231" Type="http://schemas.openxmlformats.org/officeDocument/2006/relationships/hyperlink" Target="http://secure.utah.gov/temp-permits/index.html" TargetMode="External"/><Relationship Id="rId352" Type="http://schemas.openxmlformats.org/officeDocument/2006/relationships/hyperlink" Target="https://leaps.dhhs.utah.gov" TargetMode="External"/><Relationship Id="rId230" Type="http://schemas.openxmlformats.org/officeDocument/2006/relationships/hyperlink" Target="https://secure.utah.gov/dlr/" TargetMode="External"/><Relationship Id="rId351" Type="http://schemas.openxmlformats.org/officeDocument/2006/relationships/hyperlink" Target="http://leaps.dhhs.utah.gov" TargetMode="External"/><Relationship Id="rId350" Type="http://schemas.openxmlformats.org/officeDocument/2006/relationships/hyperlink" Target="https://health.utah.gov/vpms" TargetMode="External"/><Relationship Id="rId114" Type="http://schemas.openxmlformats.org/officeDocument/2006/relationships/hyperlink" Target="https://ome.utah.gov" TargetMode="External"/><Relationship Id="rId235" Type="http://schemas.openxmlformats.org/officeDocument/2006/relationships/hyperlink" Target="https://secure.utah.gov/llv/search/index.html" TargetMode="External"/><Relationship Id="rId356" Type="http://schemas.openxmlformats.org/officeDocument/2006/relationships/hyperlink" Target="https://sedi.utah.gov/" TargetMode="External"/><Relationship Id="rId113" Type="http://schemas.openxmlformats.org/officeDocument/2006/relationships/hyperlink" Target="http://ome.utah.gov" TargetMode="External"/><Relationship Id="rId234" Type="http://schemas.openxmlformats.org/officeDocument/2006/relationships/hyperlink" Target="https://secure.utah.gov/serv1-hflo/hflo" TargetMode="External"/><Relationship Id="rId355" Type="http://schemas.openxmlformats.org/officeDocument/2006/relationships/hyperlink" Target="https://mccwapp.dhhs.utah.gov" TargetMode="External"/><Relationship Id="rId112" Type="http://schemas.openxmlformats.org/officeDocument/2006/relationships/hyperlink" Target="https://publiclands.utah.gov" TargetMode="External"/><Relationship Id="rId233" Type="http://schemas.openxmlformats.org/officeDocument/2006/relationships/hyperlink" Target="https://secure.utah.gov/trademark/" TargetMode="External"/><Relationship Id="rId354" Type="http://schemas.openxmlformats.org/officeDocument/2006/relationships/hyperlink" Target="https://energylab.utah.gov" TargetMode="External"/><Relationship Id="rId111" Type="http://schemas.openxmlformats.org/officeDocument/2006/relationships/hyperlink" Target="https://dhrmemployee.utah.gov" TargetMode="External"/><Relationship Id="rId232" Type="http://schemas.openxmlformats.org/officeDocument/2006/relationships/hyperlink" Target="https://secure.utah.gov/scr/" TargetMode="External"/><Relationship Id="rId353" Type="http://schemas.openxmlformats.org/officeDocument/2006/relationships/hyperlink" Target="https://policyors.utah.gov" TargetMode="External"/><Relationship Id="rId305" Type="http://schemas.openxmlformats.org/officeDocument/2006/relationships/hyperlink" Target="https://judges.utah.gov" TargetMode="External"/><Relationship Id="rId304" Type="http://schemas.openxmlformats.org/officeDocument/2006/relationships/hyperlink" Target="https://earlychildhood.utah.gov" TargetMode="External"/><Relationship Id="rId303" Type="http://schemas.openxmlformats.org/officeDocument/2006/relationships/hyperlink" Target="http://earlychildhood.utah.gov" TargetMode="External"/><Relationship Id="rId302" Type="http://schemas.openxmlformats.org/officeDocument/2006/relationships/hyperlink" Target="https://bop.utah.gov" TargetMode="External"/><Relationship Id="rId309" Type="http://schemas.openxmlformats.org/officeDocument/2006/relationships/hyperlink" Target="https://988.utah.gov" TargetMode="External"/><Relationship Id="rId308" Type="http://schemas.openxmlformats.org/officeDocument/2006/relationships/hyperlink" Target="http://988.utah.gov" TargetMode="External"/><Relationship Id="rId307" Type="http://schemas.openxmlformats.org/officeDocument/2006/relationships/hyperlink" Target="https://chipespanol.utah.gov" TargetMode="External"/><Relationship Id="rId306" Type="http://schemas.openxmlformats.org/officeDocument/2006/relationships/hyperlink" Target="http://chipespanol.utah.gov" TargetMode="External"/><Relationship Id="rId301" Type="http://schemas.openxmlformats.org/officeDocument/2006/relationships/hyperlink" Target="http://bop.utah.gov" TargetMode="External"/><Relationship Id="rId300" Type="http://schemas.openxmlformats.org/officeDocument/2006/relationships/hyperlink" Target="https://siac.utah.gov" TargetMode="External"/><Relationship Id="rId206" Type="http://schemas.openxmlformats.org/officeDocument/2006/relationships/hyperlink" Target="https://geology.utah.gov" TargetMode="External"/><Relationship Id="rId327" Type="http://schemas.openxmlformats.org/officeDocument/2006/relationships/hyperlink" Target="https://vantage.employee.utah.gov/" TargetMode="External"/><Relationship Id="rId205" Type="http://schemas.openxmlformats.org/officeDocument/2006/relationships/hyperlink" Target="https://secure.utah.gov/rex/" TargetMode="External"/><Relationship Id="rId326" Type="http://schemas.openxmlformats.org/officeDocument/2006/relationships/hyperlink" Target="https://firemarshal.utah.gov" TargetMode="External"/><Relationship Id="rId204" Type="http://schemas.openxmlformats.org/officeDocument/2006/relationships/hyperlink" Target="https://designsystem.utah.gov" TargetMode="External"/><Relationship Id="rId325" Type="http://schemas.openxmlformats.org/officeDocument/2006/relationships/hyperlink" Target="https://zerofatalities.com/dld-handbook" TargetMode="External"/><Relationship Id="rId203" Type="http://schemas.openxmlformats.org/officeDocument/2006/relationships/hyperlink" Target="https://secure.utah.gov/mvr/" TargetMode="External"/><Relationship Id="rId324" Type="http://schemas.openxmlformats.org/officeDocument/2006/relationships/hyperlink" Target="https://medicaid.utah.gov/" TargetMode="External"/><Relationship Id="rId209" Type="http://schemas.openxmlformats.org/officeDocument/2006/relationships/hyperlink" Target="http://vipp.utah.gov" TargetMode="External"/><Relationship Id="rId208" Type="http://schemas.openxmlformats.org/officeDocument/2006/relationships/hyperlink" Target="https://earthquakes.utah.gov" TargetMode="External"/><Relationship Id="rId329" Type="http://schemas.openxmlformats.org/officeDocument/2006/relationships/hyperlink" Target="https://contractorzone.udot.utah.gov/" TargetMode="External"/><Relationship Id="rId207" Type="http://schemas.openxmlformats.org/officeDocument/2006/relationships/hyperlink" Target="https://geology.utah.gov" TargetMode="External"/><Relationship Id="rId328" Type="http://schemas.openxmlformats.org/officeDocument/2006/relationships/hyperlink" Target="https://vantage.employee.utah.gov" TargetMode="External"/><Relationship Id="rId202" Type="http://schemas.openxmlformats.org/officeDocument/2006/relationships/hyperlink" Target="http://ethics.utah.gov/" TargetMode="External"/><Relationship Id="rId323" Type="http://schemas.openxmlformats.org/officeDocument/2006/relationships/hyperlink" Target="http://medicaid.utah.gov" TargetMode="External"/><Relationship Id="rId201" Type="http://schemas.openxmlformats.org/officeDocument/2006/relationships/hyperlink" Target="https://secure.utah.gov/orsscheduler/" TargetMode="External"/><Relationship Id="rId322" Type="http://schemas.openxmlformats.org/officeDocument/2006/relationships/hyperlink" Target="https://dfi.utah.gov/" TargetMode="External"/><Relationship Id="rId200" Type="http://schemas.openxmlformats.org/officeDocument/2006/relationships/hyperlink" Target="http://statecontracts.utah.gov" TargetMode="External"/><Relationship Id="rId321" Type="http://schemas.openxmlformats.org/officeDocument/2006/relationships/hyperlink" Target="https://privacy.utah.gov/" TargetMode="External"/><Relationship Id="rId320" Type="http://schemas.openxmlformats.org/officeDocument/2006/relationships/hyperlink" Target="https://westtraverse.utah.gov/" TargetMode="External"/><Relationship Id="rId316" Type="http://schemas.openxmlformats.org/officeDocument/2006/relationships/hyperlink" Target="https://governor.utah.gov" TargetMode="External"/><Relationship Id="rId315" Type="http://schemas.openxmlformats.org/officeDocument/2006/relationships/hyperlink" Target="https://ltgovernor.utah.gov" TargetMode="External"/><Relationship Id="rId314" Type="http://schemas.openxmlformats.org/officeDocument/2006/relationships/hyperlink" Target="https://luau.utah.gov" TargetMode="External"/><Relationship Id="rId313" Type="http://schemas.openxmlformats.org/officeDocument/2006/relationships/hyperlink" Target="https://guard.utah.gov" TargetMode="External"/><Relationship Id="rId319" Type="http://schemas.openxmlformats.org/officeDocument/2006/relationships/hyperlink" Target="https://healthrates.utah.gov" TargetMode="External"/><Relationship Id="rId318" Type="http://schemas.openxmlformats.org/officeDocument/2006/relationships/hyperlink" Target="http://healthrates.utah.gov" TargetMode="External"/><Relationship Id="rId317" Type="http://schemas.openxmlformats.org/officeDocument/2006/relationships/hyperlink" Target="https://jcc.utah.gov" TargetMode="External"/><Relationship Id="rId312" Type="http://schemas.openxmlformats.org/officeDocument/2006/relationships/hyperlink" Target="http://guard.utah.gov" TargetMode="External"/><Relationship Id="rId311" Type="http://schemas.openxmlformats.org/officeDocument/2006/relationships/hyperlink" Target="https://agritourism.utah.gov" TargetMode="External"/><Relationship Id="rId310" Type="http://schemas.openxmlformats.org/officeDocument/2006/relationships/hyperlink" Target="https://america250.utah.gov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finance.utah.gov" TargetMode="External"/><Relationship Id="rId194" Type="http://schemas.openxmlformats.org/officeDocument/2006/relationships/hyperlink" Target="https://flag.utah.gov" TargetMode="External"/><Relationship Id="rId193" Type="http://schemas.openxmlformats.org/officeDocument/2006/relationships/hyperlink" Target="https://firemarshal.utah.gov" TargetMode="External"/><Relationship Id="rId192" Type="http://schemas.openxmlformats.org/officeDocument/2006/relationships/hyperlink" Target="https://firemarshal.utah.gov" TargetMode="External"/><Relationship Id="rId191" Type="http://schemas.openxmlformats.org/officeDocument/2006/relationships/hyperlink" Target="https://finance.utah.gov" TargetMode="External"/><Relationship Id="rId187" Type="http://schemas.openxmlformats.org/officeDocument/2006/relationships/hyperlink" Target="https://familyhealth.utah.gov" TargetMode="External"/><Relationship Id="rId186" Type="http://schemas.openxmlformats.org/officeDocument/2006/relationships/hyperlink" Target="https://familyhealth.utah.gov" TargetMode="External"/><Relationship Id="rId185" Type="http://schemas.openxmlformats.org/officeDocument/2006/relationships/hyperlink" Target="https://epi.utah.gov" TargetMode="External"/><Relationship Id="rId184" Type="http://schemas.openxmlformats.org/officeDocument/2006/relationships/hyperlink" Target="https://epi.utah.gov" TargetMode="External"/><Relationship Id="rId189" Type="http://schemas.openxmlformats.org/officeDocument/2006/relationships/hyperlink" Target="https://ffsl.utah.gov" TargetMode="External"/><Relationship Id="rId188" Type="http://schemas.openxmlformats.org/officeDocument/2006/relationships/hyperlink" Target="https://ffsl.utah.gov" TargetMode="External"/><Relationship Id="rId183" Type="http://schemas.openxmlformats.org/officeDocument/2006/relationships/hyperlink" Target="https://energy.utah.gov" TargetMode="External"/><Relationship Id="rId182" Type="http://schemas.openxmlformats.org/officeDocument/2006/relationships/hyperlink" Target="https://employees.utah.gov" TargetMode="External"/><Relationship Id="rId181" Type="http://schemas.openxmlformats.org/officeDocument/2006/relationships/hyperlink" Target="https://employees.utah.gov" TargetMode="External"/><Relationship Id="rId180" Type="http://schemas.openxmlformats.org/officeDocument/2006/relationships/hyperlink" Target="https://earthquakes.utah.gov" TargetMode="External"/><Relationship Id="rId176" Type="http://schemas.openxmlformats.org/officeDocument/2006/relationships/hyperlink" Target="https://dts.utah.gov" TargetMode="External"/><Relationship Id="rId297" Type="http://schemas.openxmlformats.org/officeDocument/2006/relationships/hyperlink" Target="https://onlinelibrary.utah.gov" TargetMode="External"/><Relationship Id="rId175" Type="http://schemas.openxmlformats.org/officeDocument/2006/relationships/hyperlink" Target="https://dts.utah.gov" TargetMode="External"/><Relationship Id="rId296" Type="http://schemas.openxmlformats.org/officeDocument/2006/relationships/hyperlink" Target="https://onlinelibrary.utah.gov" TargetMode="External"/><Relationship Id="rId174" Type="http://schemas.openxmlformats.org/officeDocument/2006/relationships/hyperlink" Target="https://drought.utah.gov" TargetMode="External"/><Relationship Id="rId295" Type="http://schemas.openxmlformats.org/officeDocument/2006/relationships/hyperlink" Target="https://ome.utah.gov" TargetMode="External"/><Relationship Id="rId173" Type="http://schemas.openxmlformats.org/officeDocument/2006/relationships/hyperlink" Target="https://drought.utah.gov" TargetMode="External"/><Relationship Id="rId294" Type="http://schemas.openxmlformats.org/officeDocument/2006/relationships/hyperlink" Target="https://ome.utah.gov" TargetMode="External"/><Relationship Id="rId179" Type="http://schemas.openxmlformats.org/officeDocument/2006/relationships/hyperlink" Target="https://earthquakes.utah.gov" TargetMode="External"/><Relationship Id="rId178" Type="http://schemas.openxmlformats.org/officeDocument/2006/relationships/hyperlink" Target="https://earlychildhood.utah.gov" TargetMode="External"/><Relationship Id="rId299" Type="http://schemas.openxmlformats.org/officeDocument/2006/relationships/hyperlink" Target="https://opendata.utah.gov/" TargetMode="External"/><Relationship Id="rId177" Type="http://schemas.openxmlformats.org/officeDocument/2006/relationships/hyperlink" Target="https://earlychildhood.utah.gov" TargetMode="External"/><Relationship Id="rId298" Type="http://schemas.openxmlformats.org/officeDocument/2006/relationships/hyperlink" Target="https://opendata.utah.gov/" TargetMode="External"/><Relationship Id="rId198" Type="http://schemas.openxmlformats.org/officeDocument/2006/relationships/hyperlink" Target="https://floodhazards.utah.gov" TargetMode="External"/><Relationship Id="rId197" Type="http://schemas.openxmlformats.org/officeDocument/2006/relationships/hyperlink" Target="https://floodhazards.utah.gov" TargetMode="External"/><Relationship Id="rId196" Type="http://schemas.openxmlformats.org/officeDocument/2006/relationships/hyperlink" Target="https://fleet.utah.gov" TargetMode="External"/><Relationship Id="rId195" Type="http://schemas.openxmlformats.org/officeDocument/2006/relationships/hyperlink" Target="https://fleet.utah.gov" TargetMode="External"/><Relationship Id="rId199" Type="http://schemas.openxmlformats.org/officeDocument/2006/relationships/hyperlink" Target="https://gateway.utah.gov" TargetMode="External"/><Relationship Id="rId150" Type="http://schemas.openxmlformats.org/officeDocument/2006/relationships/hyperlink" Target="https://dementia.utah.gov" TargetMode="External"/><Relationship Id="rId271" Type="http://schemas.openxmlformats.org/officeDocument/2006/relationships/hyperlink" Target="https://mihp.utah.gov" TargetMode="External"/><Relationship Id="rId392" Type="http://schemas.openxmlformats.org/officeDocument/2006/relationships/hyperlink" Target="https://ushpo.utah.gov" TargetMode="External"/><Relationship Id="rId270" Type="http://schemas.openxmlformats.org/officeDocument/2006/relationships/hyperlink" Target="https://mihp.utah.gov" TargetMode="External"/><Relationship Id="rId391" Type="http://schemas.openxmlformats.org/officeDocument/2006/relationships/hyperlink" Target="https://userve.utah.gov/" TargetMode="External"/><Relationship Id="rId390" Type="http://schemas.openxmlformats.org/officeDocument/2006/relationships/hyperlink" Target="https://userve.utah.gov/" TargetMode="External"/><Relationship Id="rId1" Type="http://schemas.openxmlformats.org/officeDocument/2006/relationships/hyperlink" Target="http://attorneygeneral.utah.gov" TargetMode="External"/><Relationship Id="rId2" Type="http://schemas.openxmlformats.org/officeDocument/2006/relationships/hyperlink" Target="http://auditor.utah.gov" TargetMode="External"/><Relationship Id="rId3" Type="http://schemas.openxmlformats.org/officeDocument/2006/relationships/hyperlink" Target="http://commerce.utah.gov" TargetMode="External"/><Relationship Id="rId149" Type="http://schemas.openxmlformats.org/officeDocument/2006/relationships/hyperlink" Target="https://dem.utah.gov" TargetMode="External"/><Relationship Id="rId4" Type="http://schemas.openxmlformats.org/officeDocument/2006/relationships/hyperlink" Target="http://commerce.utah.gov" TargetMode="External"/><Relationship Id="rId148" Type="http://schemas.openxmlformats.org/officeDocument/2006/relationships/hyperlink" Target="https://dem.utah.gov" TargetMode="External"/><Relationship Id="rId269" Type="http://schemas.openxmlformats.org/officeDocument/2006/relationships/hyperlink" Target="https://medicalcannabis.utah.gov" TargetMode="External"/><Relationship Id="rId9" Type="http://schemas.openxmlformats.org/officeDocument/2006/relationships/hyperlink" Target="http://dcp.utah.gov/" TargetMode="External"/><Relationship Id="rId143" Type="http://schemas.openxmlformats.org/officeDocument/2006/relationships/hyperlink" Target="https://db.securities.utah.gov" TargetMode="External"/><Relationship Id="rId264" Type="http://schemas.openxmlformats.org/officeDocument/2006/relationships/hyperlink" Target="https://maternalmentalhealth.utah.gov" TargetMode="External"/><Relationship Id="rId385" Type="http://schemas.openxmlformats.org/officeDocument/2006/relationships/hyperlink" Target="https://treasurer.utah.gov" TargetMode="External"/><Relationship Id="rId142" Type="http://schemas.openxmlformats.org/officeDocument/2006/relationships/hyperlink" Target="https://db.securities.utah.gov" TargetMode="External"/><Relationship Id="rId263" Type="http://schemas.openxmlformats.org/officeDocument/2006/relationships/hyperlink" Target="https://maternalmentalhealth.utah.gov" TargetMode="External"/><Relationship Id="rId384" Type="http://schemas.openxmlformats.org/officeDocument/2006/relationships/hyperlink" Target="https://travel.utah.gov" TargetMode="External"/><Relationship Id="rId141" Type="http://schemas.openxmlformats.org/officeDocument/2006/relationships/hyperlink" Target="https://db.dopl.utah.gov" TargetMode="External"/><Relationship Id="rId262" Type="http://schemas.openxmlformats.org/officeDocument/2006/relationships/hyperlink" Target="https://luau.utah.gov" TargetMode="External"/><Relationship Id="rId383" Type="http://schemas.openxmlformats.org/officeDocument/2006/relationships/hyperlink" Target="https://thriving.utah.gov" TargetMode="External"/><Relationship Id="rId140" Type="http://schemas.openxmlformats.org/officeDocument/2006/relationships/hyperlink" Target="https://db.dopl.utah.gov" TargetMode="External"/><Relationship Id="rId261" Type="http://schemas.openxmlformats.org/officeDocument/2006/relationships/hyperlink" Target="https://luau.utah.gov" TargetMode="External"/><Relationship Id="rId382" Type="http://schemas.openxmlformats.org/officeDocument/2006/relationships/hyperlink" Target="https://thriving.utah.gov" TargetMode="External"/><Relationship Id="rId5" Type="http://schemas.openxmlformats.org/officeDocument/2006/relationships/hyperlink" Target="http://corporations.utah.gov" TargetMode="External"/><Relationship Id="rId147" Type="http://schemas.openxmlformats.org/officeDocument/2006/relationships/hyperlink" Target="https://dcp.utah.gov" TargetMode="External"/><Relationship Id="rId268" Type="http://schemas.openxmlformats.org/officeDocument/2006/relationships/hyperlink" Target="https://medicalcannabis.utah.gov" TargetMode="External"/><Relationship Id="rId389" Type="http://schemas.openxmlformats.org/officeDocument/2006/relationships/hyperlink" Target="https://urrt.utah.gov" TargetMode="External"/><Relationship Id="rId6" Type="http://schemas.openxmlformats.org/officeDocument/2006/relationships/hyperlink" Target="http://corporations.utah.gov" TargetMode="External"/><Relationship Id="rId146" Type="http://schemas.openxmlformats.org/officeDocument/2006/relationships/hyperlink" Target="https://dcp.utah.gov" TargetMode="External"/><Relationship Id="rId267" Type="http://schemas.openxmlformats.org/officeDocument/2006/relationships/hyperlink" Target="https://medicaid.utah.gov/" TargetMode="External"/><Relationship Id="rId388" Type="http://schemas.openxmlformats.org/officeDocument/2006/relationships/hyperlink" Target="https://uphp.utah.gov/" TargetMode="External"/><Relationship Id="rId7" Type="http://schemas.openxmlformats.org/officeDocument/2006/relationships/hyperlink" Target="http://crimevictim.utah.gov/" TargetMode="External"/><Relationship Id="rId145" Type="http://schemas.openxmlformats.org/officeDocument/2006/relationships/hyperlink" Target="https://dcfs.utah.gov" TargetMode="External"/><Relationship Id="rId266" Type="http://schemas.openxmlformats.org/officeDocument/2006/relationships/hyperlink" Target="https://medicaid.utah.gov/" TargetMode="External"/><Relationship Id="rId387" Type="http://schemas.openxmlformats.org/officeDocument/2006/relationships/hyperlink" Target="https://uphp.utah.gov/" TargetMode="External"/><Relationship Id="rId8" Type="http://schemas.openxmlformats.org/officeDocument/2006/relationships/hyperlink" Target="http://dcp.utah.gov/" TargetMode="External"/><Relationship Id="rId144" Type="http://schemas.openxmlformats.org/officeDocument/2006/relationships/hyperlink" Target="https://dcfs.utah.gov" TargetMode="External"/><Relationship Id="rId265" Type="http://schemas.openxmlformats.org/officeDocument/2006/relationships/hyperlink" Target="https://mccwapp.dhhs.utah.gov" TargetMode="External"/><Relationship Id="rId386" Type="http://schemas.openxmlformats.org/officeDocument/2006/relationships/hyperlink" Target="https://ucsfa.utah.gov/" TargetMode="External"/><Relationship Id="rId260" Type="http://schemas.openxmlformats.org/officeDocument/2006/relationships/hyperlink" Target="https://ltgovernor.utah.gov" TargetMode="External"/><Relationship Id="rId381" Type="http://schemas.openxmlformats.org/officeDocument/2006/relationships/hyperlink" Target="https://tax.utah.gov" TargetMode="External"/><Relationship Id="rId380" Type="http://schemas.openxmlformats.org/officeDocument/2006/relationships/hyperlink" Target="https://tax.utah.gov" TargetMode="External"/><Relationship Id="rId139" Type="http://schemas.openxmlformats.org/officeDocument/2006/relationships/hyperlink" Target="https://db.corporations.utah.gov/moraa/" TargetMode="External"/><Relationship Id="rId138" Type="http://schemas.openxmlformats.org/officeDocument/2006/relationships/hyperlink" Target="https://db.corporations.utah.gov/moraa/" TargetMode="External"/><Relationship Id="rId259" Type="http://schemas.openxmlformats.org/officeDocument/2006/relationships/hyperlink" Target="https://liveonutah.org" TargetMode="External"/><Relationship Id="rId137" Type="http://schemas.openxmlformats.org/officeDocument/2006/relationships/hyperlink" Target="https://db.corporations.gov/gia/" TargetMode="External"/><Relationship Id="rId258" Type="http://schemas.openxmlformats.org/officeDocument/2006/relationships/hyperlink" Target="https://liveonutah.org" TargetMode="External"/><Relationship Id="rId379" Type="http://schemas.openxmlformats.org/officeDocument/2006/relationships/hyperlink" Target="https://stem.utah.gov" TargetMode="External"/><Relationship Id="rId132" Type="http://schemas.openxmlformats.org/officeDocument/2006/relationships/hyperlink" Target="https://csro.utah.gov" TargetMode="External"/><Relationship Id="rId253" Type="http://schemas.openxmlformats.org/officeDocument/2006/relationships/hyperlink" Target="https://joinuhp.utah.gov" TargetMode="External"/><Relationship Id="rId374" Type="http://schemas.openxmlformats.org/officeDocument/2006/relationships/hyperlink" Target="https://socialharms.utah.gov" TargetMode="External"/><Relationship Id="rId131" Type="http://schemas.openxmlformats.org/officeDocument/2006/relationships/hyperlink" Target="https://cra.utah.gov" TargetMode="External"/><Relationship Id="rId252" Type="http://schemas.openxmlformats.org/officeDocument/2006/relationships/hyperlink" Target="https://joinuhp.utah.gov" TargetMode="External"/><Relationship Id="rId373" Type="http://schemas.openxmlformats.org/officeDocument/2006/relationships/hyperlink" Target="https://socialharms.utah.gov" TargetMode="External"/><Relationship Id="rId130" Type="http://schemas.openxmlformats.org/officeDocument/2006/relationships/hyperlink" Target="https://coveringkids.utah.gov" TargetMode="External"/><Relationship Id="rId251" Type="http://schemas.openxmlformats.org/officeDocument/2006/relationships/hyperlink" Target="https://jobdesc.utah.gov" TargetMode="External"/><Relationship Id="rId372" Type="http://schemas.openxmlformats.org/officeDocument/2006/relationships/hyperlink" Target="https://sitfo.utah.gov" TargetMode="External"/><Relationship Id="rId250" Type="http://schemas.openxmlformats.org/officeDocument/2006/relationships/hyperlink" Target="https://jobdesc.utah.gov" TargetMode="External"/><Relationship Id="rId371" Type="http://schemas.openxmlformats.org/officeDocument/2006/relationships/hyperlink" Target="https://siac.utah.gov" TargetMode="External"/><Relationship Id="rId136" Type="http://schemas.openxmlformats.org/officeDocument/2006/relationships/hyperlink" Target="https://db.corporations.gov/gia/" TargetMode="External"/><Relationship Id="rId257" Type="http://schemas.openxmlformats.org/officeDocument/2006/relationships/hyperlink" Target="https://landtrustsadvocacy.utah.gov" TargetMode="External"/><Relationship Id="rId378" Type="http://schemas.openxmlformats.org/officeDocument/2006/relationships/hyperlink" Target="https://stem.utah.gov" TargetMode="External"/><Relationship Id="rId135" Type="http://schemas.openxmlformats.org/officeDocument/2006/relationships/hyperlink" Target="https://daqpermitting.utah.gov" TargetMode="External"/><Relationship Id="rId256" Type="http://schemas.openxmlformats.org/officeDocument/2006/relationships/hyperlink" Target="https://kidsreadytoread.utah.gov" TargetMode="External"/><Relationship Id="rId377" Type="http://schemas.openxmlformats.org/officeDocument/2006/relationships/hyperlink" Target="https://startup.utah.gov" TargetMode="External"/><Relationship Id="rId134" Type="http://schemas.openxmlformats.org/officeDocument/2006/relationships/hyperlink" Target="https://daas.utah.gov" TargetMode="External"/><Relationship Id="rId255" Type="http://schemas.openxmlformats.org/officeDocument/2006/relationships/hyperlink" Target="https://kidsreadytoread.utah.gov" TargetMode="External"/><Relationship Id="rId376" Type="http://schemas.openxmlformats.org/officeDocument/2006/relationships/hyperlink" Target="https://socialmedia.utah.gov" TargetMode="External"/><Relationship Id="rId133" Type="http://schemas.openxmlformats.org/officeDocument/2006/relationships/hyperlink" Target="https://daas.utah.gov" TargetMode="External"/><Relationship Id="rId254" Type="http://schemas.openxmlformats.org/officeDocument/2006/relationships/hyperlink" Target="https://judges.utah.gov" TargetMode="External"/><Relationship Id="rId375" Type="http://schemas.openxmlformats.org/officeDocument/2006/relationships/hyperlink" Target="https://socialmedia.utah.gov" TargetMode="External"/><Relationship Id="rId172" Type="http://schemas.openxmlformats.org/officeDocument/2006/relationships/hyperlink" Target="https://dps.utah.gov" TargetMode="External"/><Relationship Id="rId293" Type="http://schemas.openxmlformats.org/officeDocument/2006/relationships/hyperlink" Target="https://oig.utah.gov" TargetMode="External"/><Relationship Id="rId171" Type="http://schemas.openxmlformats.org/officeDocument/2006/relationships/hyperlink" Target="https://dps.utah.gov" TargetMode="External"/><Relationship Id="rId292" Type="http://schemas.openxmlformats.org/officeDocument/2006/relationships/hyperlink" Target="https://ogm.utah.gov" TargetMode="External"/><Relationship Id="rId170" Type="http://schemas.openxmlformats.org/officeDocument/2006/relationships/hyperlink" Target="https://docsearch.utah.gov" TargetMode="External"/><Relationship Id="rId291" Type="http://schemas.openxmlformats.org/officeDocument/2006/relationships/hyperlink" Target="https://ogm.utah.gov" TargetMode="External"/><Relationship Id="rId290" Type="http://schemas.openxmlformats.org/officeDocument/2006/relationships/hyperlink" Target="https://offeracceptance.utah.gov/" TargetMode="External"/><Relationship Id="rId165" Type="http://schemas.openxmlformats.org/officeDocument/2006/relationships/hyperlink" Target="https://dld.utah.gov" TargetMode="External"/><Relationship Id="rId286" Type="http://schemas.openxmlformats.org/officeDocument/2006/relationships/hyperlink" Target="https://naturalresources.utah.gov" TargetMode="External"/><Relationship Id="rId164" Type="http://schemas.openxmlformats.org/officeDocument/2006/relationships/hyperlink" Target="https://dld.utah.gov" TargetMode="External"/><Relationship Id="rId285" Type="http://schemas.openxmlformats.org/officeDocument/2006/relationships/hyperlink" Target="https://naturalresources.utah.gov" TargetMode="External"/><Relationship Id="rId163" Type="http://schemas.openxmlformats.org/officeDocument/2006/relationships/hyperlink" Target="https://dhrmemployee.utah.gov" TargetMode="External"/><Relationship Id="rId284" Type="http://schemas.openxmlformats.org/officeDocument/2006/relationships/hyperlink" Target="https://mydps.utah.gov" TargetMode="External"/><Relationship Id="rId162" Type="http://schemas.openxmlformats.org/officeDocument/2006/relationships/hyperlink" Target="https://dhrmemployee.utah.gov" TargetMode="External"/><Relationship Id="rId283" Type="http://schemas.openxmlformats.org/officeDocument/2006/relationships/hyperlink" Target="https://mydps.utah.gov" TargetMode="External"/><Relationship Id="rId169" Type="http://schemas.openxmlformats.org/officeDocument/2006/relationships/hyperlink" Target="https://docsearch.utah.gov" TargetMode="External"/><Relationship Id="rId168" Type="http://schemas.openxmlformats.org/officeDocument/2006/relationships/hyperlink" Target="https://docsearch.utah.gov" TargetMode="External"/><Relationship Id="rId289" Type="http://schemas.openxmlformats.org/officeDocument/2006/relationships/hyperlink" Target="https://offeracceptance.utah.gov/" TargetMode="External"/><Relationship Id="rId167" Type="http://schemas.openxmlformats.org/officeDocument/2006/relationships/hyperlink" Target="https://dmv.utah.gov" TargetMode="External"/><Relationship Id="rId288" Type="http://schemas.openxmlformats.org/officeDocument/2006/relationships/hyperlink" Target="https://newbornscreening.utah.gov" TargetMode="External"/><Relationship Id="rId166" Type="http://schemas.openxmlformats.org/officeDocument/2006/relationships/hyperlink" Target="https://dmv.utah.gov" TargetMode="External"/><Relationship Id="rId287" Type="http://schemas.openxmlformats.org/officeDocument/2006/relationships/hyperlink" Target="https://newbornscreening.utah.gov" TargetMode="External"/><Relationship Id="rId161" Type="http://schemas.openxmlformats.org/officeDocument/2006/relationships/hyperlink" Target="https://dhrm.utah.gov" TargetMode="External"/><Relationship Id="rId282" Type="http://schemas.openxmlformats.org/officeDocument/2006/relationships/hyperlink" Target="https://mybusiness.utah.gov" TargetMode="External"/><Relationship Id="rId160" Type="http://schemas.openxmlformats.org/officeDocument/2006/relationships/hyperlink" Target="https://dhrm.utah.gov" TargetMode="External"/><Relationship Id="rId281" Type="http://schemas.openxmlformats.org/officeDocument/2006/relationships/hyperlink" Target="https://mybusiness.utah.gov" TargetMode="External"/><Relationship Id="rId280" Type="http://schemas.openxmlformats.org/officeDocument/2006/relationships/hyperlink" Target="https://my.utah.gov" TargetMode="External"/><Relationship Id="rId159" Type="http://schemas.openxmlformats.org/officeDocument/2006/relationships/hyperlink" Target="https://dhhs.utah.gov" TargetMode="External"/><Relationship Id="rId154" Type="http://schemas.openxmlformats.org/officeDocument/2006/relationships/hyperlink" Target="https://designsystem.utah.gov" TargetMode="External"/><Relationship Id="rId275" Type="http://schemas.openxmlformats.org/officeDocument/2006/relationships/hyperlink" Target="https://multicultural.utah.gov" TargetMode="External"/><Relationship Id="rId396" Type="http://schemas.openxmlformats.org/officeDocument/2006/relationships/hyperlink" Target="https://utahstatecapitol.utah.gov" TargetMode="External"/><Relationship Id="rId153" Type="http://schemas.openxmlformats.org/officeDocument/2006/relationships/hyperlink" Target="https://designsystem.utah.gov" TargetMode="External"/><Relationship Id="rId274" Type="http://schemas.openxmlformats.org/officeDocument/2006/relationships/hyperlink" Target="https://multicultural.utah.gov" TargetMode="External"/><Relationship Id="rId395" Type="http://schemas.openxmlformats.org/officeDocument/2006/relationships/hyperlink" Target="https://utahsafehaven.org" TargetMode="External"/><Relationship Id="rId152" Type="http://schemas.openxmlformats.org/officeDocument/2006/relationships/hyperlink" Target="https://deq.utah.gov" TargetMode="External"/><Relationship Id="rId273" Type="http://schemas.openxmlformats.org/officeDocument/2006/relationships/hyperlink" Target="https://mothertobaby.utah.gov" TargetMode="External"/><Relationship Id="rId394" Type="http://schemas.openxmlformats.org/officeDocument/2006/relationships/hyperlink" Target="https://utahsafehaven.org" TargetMode="External"/><Relationship Id="rId151" Type="http://schemas.openxmlformats.org/officeDocument/2006/relationships/hyperlink" Target="https://dementia.utah.gov" TargetMode="External"/><Relationship Id="rId272" Type="http://schemas.openxmlformats.org/officeDocument/2006/relationships/hyperlink" Target="https://mothertobaby.utah.gov" TargetMode="External"/><Relationship Id="rId393" Type="http://schemas.openxmlformats.org/officeDocument/2006/relationships/hyperlink" Target="https://ushpo.utah.gov" TargetMode="External"/><Relationship Id="rId158" Type="http://schemas.openxmlformats.org/officeDocument/2006/relationships/hyperlink" Target="https://dhhs.utah.gov" TargetMode="External"/><Relationship Id="rId279" Type="http://schemas.openxmlformats.org/officeDocument/2006/relationships/hyperlink" Target="https://mved.utah.gov" TargetMode="External"/><Relationship Id="rId157" Type="http://schemas.openxmlformats.org/officeDocument/2006/relationships/hyperlink" Target="https://dfi.utah.gov/" TargetMode="External"/><Relationship Id="rId278" Type="http://schemas.openxmlformats.org/officeDocument/2006/relationships/hyperlink" Target="https://mved.utah.gov" TargetMode="External"/><Relationship Id="rId399" Type="http://schemas.openxmlformats.org/officeDocument/2006/relationships/hyperlink" Target="https://vipp.utah.gov" TargetMode="External"/><Relationship Id="rId156" Type="http://schemas.openxmlformats.org/officeDocument/2006/relationships/hyperlink" Target="https://dfcm.utah.gov" TargetMode="External"/><Relationship Id="rId277" Type="http://schemas.openxmlformats.org/officeDocument/2006/relationships/hyperlink" Target="https://museumsocialimpact.org" TargetMode="External"/><Relationship Id="rId398" Type="http://schemas.openxmlformats.org/officeDocument/2006/relationships/hyperlink" Target="https://vantage.employee.utah.gov" TargetMode="External"/><Relationship Id="rId155" Type="http://schemas.openxmlformats.org/officeDocument/2006/relationships/hyperlink" Target="https://dfcm.utah.gov" TargetMode="External"/><Relationship Id="rId276" Type="http://schemas.openxmlformats.org/officeDocument/2006/relationships/hyperlink" Target="https://museumsocialimpact.org" TargetMode="External"/><Relationship Id="rId397" Type="http://schemas.openxmlformats.org/officeDocument/2006/relationships/hyperlink" Target="https://vantage.employee.utah.gov" TargetMode="External"/><Relationship Id="rId40" Type="http://schemas.openxmlformats.org/officeDocument/2006/relationships/hyperlink" Target="http://realestate.utah.gov" TargetMode="External"/><Relationship Id="rId42" Type="http://schemas.openxmlformats.org/officeDocument/2006/relationships/hyperlink" Target="http://rescue.utah.gov" TargetMode="External"/><Relationship Id="rId41" Type="http://schemas.openxmlformats.org/officeDocument/2006/relationships/hyperlink" Target="http://realestate.utah.gov" TargetMode="External"/><Relationship Id="rId44" Type="http://schemas.openxmlformats.org/officeDocument/2006/relationships/hyperlink" Target="http://secure.utah.gov/ce-public/index.html" TargetMode="External"/><Relationship Id="rId43" Type="http://schemas.openxmlformats.org/officeDocument/2006/relationships/hyperlink" Target="http://rescue.utah.gov" TargetMode="External"/><Relationship Id="rId46" Type="http://schemas.openxmlformats.org/officeDocument/2006/relationships/hyperlink" Target="http://secure.utah.gov/mvr-personal/" TargetMode="External"/><Relationship Id="rId45" Type="http://schemas.openxmlformats.org/officeDocument/2006/relationships/hyperlink" Target="http://secure.utah.gov/ce-public/index.html" TargetMode="External"/><Relationship Id="rId48" Type="http://schemas.openxmlformats.org/officeDocument/2006/relationships/hyperlink" Target="http://secure.utah.gov/temp-permits/index.html" TargetMode="External"/><Relationship Id="rId47" Type="http://schemas.openxmlformats.org/officeDocument/2006/relationships/hyperlink" Target="http://secure.utah.gov/mvr-personal/" TargetMode="External"/><Relationship Id="rId49" Type="http://schemas.openxmlformats.org/officeDocument/2006/relationships/hyperlink" Target="http://securities.utah.gov" TargetMode="External"/><Relationship Id="rId31" Type="http://schemas.openxmlformats.org/officeDocument/2006/relationships/hyperlink" Target="http://justice.utah.gov/" TargetMode="External"/><Relationship Id="rId30" Type="http://schemas.openxmlformats.org/officeDocument/2006/relationships/hyperlink" Target="http://judicialvacancy.utah.gov/" TargetMode="External"/><Relationship Id="rId33" Type="http://schemas.openxmlformats.org/officeDocument/2006/relationships/hyperlink" Target="http://library.utah.gov" TargetMode="External"/><Relationship Id="rId32" Type="http://schemas.openxmlformats.org/officeDocument/2006/relationships/hyperlink" Target="http://library.utah.gov" TargetMode="External"/><Relationship Id="rId35" Type="http://schemas.openxmlformats.org/officeDocument/2006/relationships/hyperlink" Target="http://propertyrights.utah.gov" TargetMode="External"/><Relationship Id="rId34" Type="http://schemas.openxmlformats.org/officeDocument/2006/relationships/hyperlink" Target="http://notary.utah.gov" TargetMode="External"/><Relationship Id="rId37" Type="http://schemas.openxmlformats.org/officeDocument/2006/relationships/hyperlink" Target="http://psc.utah.gov" TargetMode="External"/><Relationship Id="rId36" Type="http://schemas.openxmlformats.org/officeDocument/2006/relationships/hyperlink" Target="http://propertyrights.utah.gov" TargetMode="External"/><Relationship Id="rId39" Type="http://schemas.openxmlformats.org/officeDocument/2006/relationships/hyperlink" Target="http://rdcc.utah.gov" TargetMode="External"/><Relationship Id="rId38" Type="http://schemas.openxmlformats.org/officeDocument/2006/relationships/hyperlink" Target="http://rdcc.utah.gov" TargetMode="External"/><Relationship Id="rId20" Type="http://schemas.openxmlformats.org/officeDocument/2006/relationships/hyperlink" Target="http://dwre-utahdnr.opendata.arcgis.com/" TargetMode="External"/><Relationship Id="rId22" Type="http://schemas.openxmlformats.org/officeDocument/2006/relationships/hyperlink" Target="http://ems.utah.gov" TargetMode="External"/><Relationship Id="rId21" Type="http://schemas.openxmlformats.org/officeDocument/2006/relationships/hyperlink" Target="http://electionresults.utah.gov/" TargetMode="External"/><Relationship Id="rId24" Type="http://schemas.openxmlformats.org/officeDocument/2006/relationships/hyperlink" Target="http://energy.utah.gov" TargetMode="External"/><Relationship Id="rId23" Type="http://schemas.openxmlformats.org/officeDocument/2006/relationships/hyperlink" Target="http://ems.utah.gov" TargetMode="External"/><Relationship Id="rId409" Type="http://schemas.openxmlformats.org/officeDocument/2006/relationships/hyperlink" Target="https://wildlifemigration.utah.gov/" TargetMode="External"/><Relationship Id="rId404" Type="http://schemas.openxmlformats.org/officeDocument/2006/relationships/hyperlink" Target="https://water.utah.gov" TargetMode="External"/><Relationship Id="rId403" Type="http://schemas.openxmlformats.org/officeDocument/2006/relationships/hyperlink" Target="https://vote.utah.gov/" TargetMode="External"/><Relationship Id="rId402" Type="http://schemas.openxmlformats.org/officeDocument/2006/relationships/hyperlink" Target="https://vitalrecords.utah.gov" TargetMode="External"/><Relationship Id="rId401" Type="http://schemas.openxmlformats.org/officeDocument/2006/relationships/hyperlink" Target="https://vitalrecords.utah.gov" TargetMode="External"/><Relationship Id="rId408" Type="http://schemas.openxmlformats.org/officeDocument/2006/relationships/hyperlink" Target="https://westtraverse.utah.gov/" TargetMode="External"/><Relationship Id="rId407" Type="http://schemas.openxmlformats.org/officeDocument/2006/relationships/hyperlink" Target="https://watershed.utah.gov" TargetMode="External"/><Relationship Id="rId406" Type="http://schemas.openxmlformats.org/officeDocument/2006/relationships/hyperlink" Target="https://watershed.utah.gov" TargetMode="External"/><Relationship Id="rId405" Type="http://schemas.openxmlformats.org/officeDocument/2006/relationships/hyperlink" Target="https://water.utah.gov" TargetMode="External"/><Relationship Id="rId26" Type="http://schemas.openxmlformats.org/officeDocument/2006/relationships/hyperlink" Target="http://ethics.utah.gov/" TargetMode="External"/><Relationship Id="rId25" Type="http://schemas.openxmlformats.org/officeDocument/2006/relationships/hyperlink" Target="http://energy.utah.gov" TargetMode="External"/><Relationship Id="rId28" Type="http://schemas.openxmlformats.org/officeDocument/2006/relationships/hyperlink" Target="http://jjys.utah.gov" TargetMode="External"/><Relationship Id="rId27" Type="http://schemas.openxmlformats.org/officeDocument/2006/relationships/hyperlink" Target="http://ethics.utah.gov/" TargetMode="External"/><Relationship Id="rId400" Type="http://schemas.openxmlformats.org/officeDocument/2006/relationships/hyperlink" Target="https://vipp.utah.gov" TargetMode="External"/><Relationship Id="rId29" Type="http://schemas.openxmlformats.org/officeDocument/2006/relationships/hyperlink" Target="http://jjys.utah.gov" TargetMode="External"/><Relationship Id="rId11" Type="http://schemas.openxmlformats.org/officeDocument/2006/relationships/hyperlink" Target="http://dlbc.utah.gov" TargetMode="External"/><Relationship Id="rId10" Type="http://schemas.openxmlformats.org/officeDocument/2006/relationships/hyperlink" Target="http://disclosures.utah.gov" TargetMode="External"/><Relationship Id="rId13" Type="http://schemas.openxmlformats.org/officeDocument/2006/relationships/hyperlink" Target="http://dopl.utah.gov" TargetMode="External"/><Relationship Id="rId12" Type="http://schemas.openxmlformats.org/officeDocument/2006/relationships/hyperlink" Target="http://dlbc.utah.gov" TargetMode="External"/><Relationship Id="rId15" Type="http://schemas.openxmlformats.org/officeDocument/2006/relationships/hyperlink" Target="http://dpu.utah.gov" TargetMode="External"/><Relationship Id="rId14" Type="http://schemas.openxmlformats.org/officeDocument/2006/relationships/hyperlink" Target="http://dopl.utah.gov" TargetMode="External"/><Relationship Id="rId17" Type="http://schemas.openxmlformats.org/officeDocument/2006/relationships/hyperlink" Target="http://dspd.utah.gov" TargetMode="External"/><Relationship Id="rId16" Type="http://schemas.openxmlformats.org/officeDocument/2006/relationships/hyperlink" Target="http://dpu.utah.gov" TargetMode="External"/><Relationship Id="rId19" Type="http://schemas.openxmlformats.org/officeDocument/2006/relationships/hyperlink" Target="http://dwre-utahdnr.opendata.arcgis.com/" TargetMode="External"/><Relationship Id="rId18" Type="http://schemas.openxmlformats.org/officeDocument/2006/relationships/hyperlink" Target="http://dspd.utah.gov" TargetMode="External"/><Relationship Id="rId84" Type="http://schemas.openxmlformats.org/officeDocument/2006/relationships/hyperlink" Target="https://adoptionregistry.utah.gov" TargetMode="External"/><Relationship Id="rId83" Type="http://schemas.openxmlformats.org/officeDocument/2006/relationships/hyperlink" Target="https://adoptionregistry.utah.gov" TargetMode="External"/><Relationship Id="rId86" Type="http://schemas.openxmlformats.org/officeDocument/2006/relationships/hyperlink" Target="https://agritourism.utah.gov" TargetMode="External"/><Relationship Id="rId85" Type="http://schemas.openxmlformats.org/officeDocument/2006/relationships/hyperlink" Target="https://ag.utah.gov" TargetMode="External"/><Relationship Id="rId88" Type="http://schemas.openxmlformats.org/officeDocument/2006/relationships/hyperlink" Target="https://america250.utah.gov" TargetMode="External"/><Relationship Id="rId87" Type="http://schemas.openxmlformats.org/officeDocument/2006/relationships/hyperlink" Target="https://air.utah.gov" TargetMode="External"/><Relationship Id="rId89" Type="http://schemas.openxmlformats.org/officeDocument/2006/relationships/hyperlink" Target="https://america250.utah.gov" TargetMode="External"/><Relationship Id="rId80" Type="http://schemas.openxmlformats.org/officeDocument/2006/relationships/hyperlink" Target="https://admin.commerce.utah.gov" TargetMode="External"/><Relationship Id="rId82" Type="http://schemas.openxmlformats.org/officeDocument/2006/relationships/hyperlink" Target="https://adolescenthealth.utah.gov" TargetMode="External"/><Relationship Id="rId81" Type="http://schemas.openxmlformats.org/officeDocument/2006/relationships/hyperlink" Target="https://adolescenthealth.utah.gov" TargetMode="External"/><Relationship Id="rId73" Type="http://schemas.openxmlformats.org/officeDocument/2006/relationships/hyperlink" Target="http://www.udot.utah.gov/udot/" TargetMode="External"/><Relationship Id="rId72" Type="http://schemas.openxmlformats.org/officeDocument/2006/relationships/hyperlink" Target="http://www.insurance.utah.gov" TargetMode="External"/><Relationship Id="rId75" Type="http://schemas.openxmlformats.org/officeDocument/2006/relationships/hyperlink" Target="http://www.utah.gov" TargetMode="External"/><Relationship Id="rId74" Type="http://schemas.openxmlformats.org/officeDocument/2006/relationships/hyperlink" Target="http://www.utah.gov" TargetMode="External"/><Relationship Id="rId77" Type="http://schemas.openxmlformats.org/officeDocument/2006/relationships/hyperlink" Target="https://988.utah.gov" TargetMode="External"/><Relationship Id="rId76" Type="http://schemas.openxmlformats.org/officeDocument/2006/relationships/hyperlink" Target="https://988.utah.gov" TargetMode="External"/><Relationship Id="rId79" Type="http://schemas.openxmlformats.org/officeDocument/2006/relationships/hyperlink" Target="https://admin.commerce.utah.gov" TargetMode="External"/><Relationship Id="rId78" Type="http://schemas.openxmlformats.org/officeDocument/2006/relationships/hyperlink" Target="https://abs.utah.gov/" TargetMode="External"/><Relationship Id="rId71" Type="http://schemas.openxmlformats.org/officeDocument/2006/relationships/hyperlink" Target="http://www.conservewater.utah.gov" TargetMode="External"/><Relationship Id="rId70" Type="http://schemas.openxmlformats.org/officeDocument/2006/relationships/hyperlink" Target="http://www.conservewater.utah.gov" TargetMode="External"/><Relationship Id="rId62" Type="http://schemas.openxmlformats.org/officeDocument/2006/relationships/hyperlink" Target="http://utahsown.org" TargetMode="External"/><Relationship Id="rId61" Type="http://schemas.openxmlformats.org/officeDocument/2006/relationships/hyperlink" Target="http://utah.gov/pmn" TargetMode="External"/><Relationship Id="rId64" Type="http://schemas.openxmlformats.org/officeDocument/2006/relationships/hyperlink" Target="http://wic.utah.gov" TargetMode="External"/><Relationship Id="rId63" Type="http://schemas.openxmlformats.org/officeDocument/2006/relationships/hyperlink" Target="http://veterans.utah.gov" TargetMode="External"/><Relationship Id="rId66" Type="http://schemas.openxmlformats.org/officeDocument/2006/relationships/hyperlink" Target="http://wildawareutah.org" TargetMode="External"/><Relationship Id="rId65" Type="http://schemas.openxmlformats.org/officeDocument/2006/relationships/hyperlink" Target="http://wic.utah.gov" TargetMode="External"/><Relationship Id="rId68" Type="http://schemas.openxmlformats.org/officeDocument/2006/relationships/hyperlink" Target="http://wildlife.utah.gov" TargetMode="External"/><Relationship Id="rId67" Type="http://schemas.openxmlformats.org/officeDocument/2006/relationships/hyperlink" Target="http://wildawareutah.org" TargetMode="External"/><Relationship Id="rId60" Type="http://schemas.openxmlformats.org/officeDocument/2006/relationships/hyperlink" Target="http://ush.utah.gov" TargetMode="External"/><Relationship Id="rId69" Type="http://schemas.openxmlformats.org/officeDocument/2006/relationships/hyperlink" Target="http://wildlife.utah.gov" TargetMode="External"/><Relationship Id="rId51" Type="http://schemas.openxmlformats.org/officeDocument/2006/relationships/hyperlink" Target="http://statecontracts.utah.gov" TargetMode="External"/><Relationship Id="rId50" Type="http://schemas.openxmlformats.org/officeDocument/2006/relationships/hyperlink" Target="http://securities.utah.gov" TargetMode="External"/><Relationship Id="rId53" Type="http://schemas.openxmlformats.org/officeDocument/2006/relationships/hyperlink" Target="http://stdofthesea.utah.gov" TargetMode="External"/><Relationship Id="rId52" Type="http://schemas.openxmlformats.org/officeDocument/2006/relationships/hyperlink" Target="http://statecontracts.utah.gov" TargetMode="External"/><Relationship Id="rId55" Type="http://schemas.openxmlformats.org/officeDocument/2006/relationships/hyperlink" Target="http://uphl.utah.gov/" TargetMode="External"/><Relationship Id="rId54" Type="http://schemas.openxmlformats.org/officeDocument/2006/relationships/hyperlink" Target="http://stdofthesea.utah.gov" TargetMode="External"/><Relationship Id="rId57" Type="http://schemas.openxmlformats.org/officeDocument/2006/relationships/hyperlink" Target="http://usdc.utah.gov" TargetMode="External"/><Relationship Id="rId56" Type="http://schemas.openxmlformats.org/officeDocument/2006/relationships/hyperlink" Target="http://uphl.utah.gov/" TargetMode="External"/><Relationship Id="rId59" Type="http://schemas.openxmlformats.org/officeDocument/2006/relationships/hyperlink" Target="http://ush.utah.gov" TargetMode="External"/><Relationship Id="rId58" Type="http://schemas.openxmlformats.org/officeDocument/2006/relationships/hyperlink" Target="http://usdc.utah.gov" TargetMode="External"/><Relationship Id="rId107" Type="http://schemas.openxmlformats.org/officeDocument/2006/relationships/hyperlink" Target="https://bookmobiles.utah.gov" TargetMode="External"/><Relationship Id="rId228" Type="http://schemas.openxmlformats.org/officeDocument/2006/relationships/hyperlink" Target="https://historytogo.utah.gov" TargetMode="External"/><Relationship Id="rId349" Type="http://schemas.openxmlformats.org/officeDocument/2006/relationships/hyperlink" Target="https://secure.utah.gov/protectiveorder/index.html" TargetMode="External"/><Relationship Id="rId106" Type="http://schemas.openxmlformats.org/officeDocument/2006/relationships/hyperlink" Target="https://bookmobiles.utah.gov" TargetMode="External"/><Relationship Id="rId227" Type="http://schemas.openxmlformats.org/officeDocument/2006/relationships/hyperlink" Target="https://history.utah.gov" TargetMode="External"/><Relationship Id="rId348" Type="http://schemas.openxmlformats.org/officeDocument/2006/relationships/hyperlink" Target="https://secure.utah.gov/protectiveorder/index.html" TargetMode="External"/><Relationship Id="rId105" Type="http://schemas.openxmlformats.org/officeDocument/2006/relationships/hyperlink" Target="https://blog.commerce.utah.gov" TargetMode="External"/><Relationship Id="rId226" Type="http://schemas.openxmlformats.org/officeDocument/2006/relationships/hyperlink" Target="https://history.utah.gov" TargetMode="External"/><Relationship Id="rId347" Type="http://schemas.openxmlformats.org/officeDocument/2006/relationships/hyperlink" Target="https://secure.utah.gov/orsscheduler/" TargetMode="External"/><Relationship Id="rId104" Type="http://schemas.openxmlformats.org/officeDocument/2006/relationships/hyperlink" Target="https://blog.commerce.utah.gov" TargetMode="External"/><Relationship Id="rId225" Type="http://schemas.openxmlformats.org/officeDocument/2006/relationships/hyperlink" Target="https://highwaysafety.utah.gov" TargetMode="External"/><Relationship Id="rId346" Type="http://schemas.openxmlformats.org/officeDocument/2006/relationships/hyperlink" Target="https://secure.utah.gov/orsscheduler/" TargetMode="External"/><Relationship Id="rId109" Type="http://schemas.openxmlformats.org/officeDocument/2006/relationships/hyperlink" Target="https://budgetprep.utah.gov" TargetMode="External"/><Relationship Id="rId108" Type="http://schemas.openxmlformats.org/officeDocument/2006/relationships/hyperlink" Target="https://bop.utah.gov" TargetMode="External"/><Relationship Id="rId229" Type="http://schemas.openxmlformats.org/officeDocument/2006/relationships/hyperlink" Target="https://historytogo.utah.gov" TargetMode="External"/><Relationship Id="rId220" Type="http://schemas.openxmlformats.org/officeDocument/2006/relationships/hyperlink" Target="https://healthrates.utah.gov" TargetMode="External"/><Relationship Id="rId341" Type="http://schemas.openxmlformats.org/officeDocument/2006/relationships/hyperlink" Target="https://secure.utah.gov/hflo-agent/" TargetMode="External"/><Relationship Id="rId340" Type="http://schemas.openxmlformats.org/officeDocument/2006/relationships/hyperlink" Target="https://secure.utah.gov/hflo-agent/" TargetMode="External"/><Relationship Id="rId103" Type="http://schemas.openxmlformats.org/officeDocument/2006/relationships/hyperlink" Target="https://blindlibrary.utah.gov" TargetMode="External"/><Relationship Id="rId224" Type="http://schemas.openxmlformats.org/officeDocument/2006/relationships/hyperlink" Target="https://healthyminds.utah.gov" TargetMode="External"/><Relationship Id="rId345" Type="http://schemas.openxmlformats.org/officeDocument/2006/relationships/hyperlink" Target="https://secure.utah.gov/notary/" TargetMode="External"/><Relationship Id="rId102" Type="http://schemas.openxmlformats.org/officeDocument/2006/relationships/hyperlink" Target="https://blindlibrary.utah.gov" TargetMode="External"/><Relationship Id="rId223" Type="http://schemas.openxmlformats.org/officeDocument/2006/relationships/hyperlink" Target="https://healthyminds.utah.gov" TargetMode="External"/><Relationship Id="rId344" Type="http://schemas.openxmlformats.org/officeDocument/2006/relationships/hyperlink" Target="https://secure.utah.gov/mvr/" TargetMode="External"/><Relationship Id="rId101" Type="http://schemas.openxmlformats.org/officeDocument/2006/relationships/hyperlink" Target="https://bewise.utah.gov" TargetMode="External"/><Relationship Id="rId222" Type="http://schemas.openxmlformats.org/officeDocument/2006/relationships/hyperlink" Target="https://healthyaging.utah.gov" TargetMode="External"/><Relationship Id="rId343" Type="http://schemas.openxmlformats.org/officeDocument/2006/relationships/hyperlink" Target="https://secure.utah.gov/mvr/" TargetMode="External"/><Relationship Id="rId100" Type="http://schemas.openxmlformats.org/officeDocument/2006/relationships/hyperlink" Target="https://bewise.utah.gov" TargetMode="External"/><Relationship Id="rId221" Type="http://schemas.openxmlformats.org/officeDocument/2006/relationships/hyperlink" Target="https://healthyaging.utah.gov" TargetMode="External"/><Relationship Id="rId342" Type="http://schemas.openxmlformats.org/officeDocument/2006/relationships/hyperlink" Target="https://secure.utah.gov/ivs/" TargetMode="External"/><Relationship Id="rId217" Type="http://schemas.openxmlformats.org/officeDocument/2006/relationships/hyperlink" Target="https://healthcarestats.utah.gov" TargetMode="External"/><Relationship Id="rId338" Type="http://schemas.openxmlformats.org/officeDocument/2006/relationships/hyperlink" Target="https://secure.utah.gov/fmcert" TargetMode="External"/><Relationship Id="rId216" Type="http://schemas.openxmlformats.org/officeDocument/2006/relationships/hyperlink" Target="https://healthcarestats.utah.gov" TargetMode="External"/><Relationship Id="rId337" Type="http://schemas.openxmlformats.org/officeDocument/2006/relationships/hyperlink" Target="https://secure.utah.gov/examcenter" TargetMode="External"/><Relationship Id="rId215" Type="http://schemas.openxmlformats.org/officeDocument/2006/relationships/hyperlink" Target="https://healthassessment.utah.gov" TargetMode="External"/><Relationship Id="rId336" Type="http://schemas.openxmlformats.org/officeDocument/2006/relationships/hyperlink" Target="https://secure.utah.gov/examcenter" TargetMode="External"/><Relationship Id="rId214" Type="http://schemas.openxmlformats.org/officeDocument/2006/relationships/hyperlink" Target="https://healthassessment.utah.gov" TargetMode="External"/><Relationship Id="rId335" Type="http://schemas.openxmlformats.org/officeDocument/2006/relationships/hyperlink" Target="https://secure.utah.gov/dlr/" TargetMode="External"/><Relationship Id="rId219" Type="http://schemas.openxmlformats.org/officeDocument/2006/relationships/hyperlink" Target="https://healthequity.utah.gov" TargetMode="External"/><Relationship Id="rId218" Type="http://schemas.openxmlformats.org/officeDocument/2006/relationships/hyperlink" Target="https://healthequity.utah.gov" TargetMode="External"/><Relationship Id="rId339" Type="http://schemas.openxmlformats.org/officeDocument/2006/relationships/hyperlink" Target="https://secure.utah.gov/fmcert" TargetMode="External"/><Relationship Id="rId330" Type="http://schemas.openxmlformats.org/officeDocument/2006/relationships/hyperlink" Target="https://secure.utah.gov/dhr-pi" TargetMode="External"/><Relationship Id="rId213" Type="http://schemas.openxmlformats.org/officeDocument/2006/relationships/hyperlink" Target="https://heal.utah.gov" TargetMode="External"/><Relationship Id="rId334" Type="http://schemas.openxmlformats.org/officeDocument/2006/relationships/hyperlink" Target="https://secure.utah.gov/dlr/" TargetMode="External"/><Relationship Id="rId212" Type="http://schemas.openxmlformats.org/officeDocument/2006/relationships/hyperlink" Target="https://heal.utah.gov" TargetMode="External"/><Relationship Id="rId333" Type="http://schemas.openxmlformats.org/officeDocument/2006/relationships/hyperlink" Target="https://secure.utah.gov/dlexams" TargetMode="External"/><Relationship Id="rId211" Type="http://schemas.openxmlformats.org/officeDocument/2006/relationships/hyperlink" Target="https://hazards.utah.gov" TargetMode="External"/><Relationship Id="rId332" Type="http://schemas.openxmlformats.org/officeDocument/2006/relationships/hyperlink" Target="https://secure.utah.gov/dlexams" TargetMode="External"/><Relationship Id="rId210" Type="http://schemas.openxmlformats.org/officeDocument/2006/relationships/hyperlink" Target="https://hazards.utah.gov" TargetMode="External"/><Relationship Id="rId331" Type="http://schemas.openxmlformats.org/officeDocument/2006/relationships/hyperlink" Target="https://secure.utah.gov/dhr-pi" TargetMode="External"/><Relationship Id="rId370" Type="http://schemas.openxmlformats.org/officeDocument/2006/relationships/hyperlink" Target="https://siac.utah.gov" TargetMode="External"/><Relationship Id="rId129" Type="http://schemas.openxmlformats.org/officeDocument/2006/relationships/hyperlink" Target="https://coveringkids.utah.gov" TargetMode="External"/><Relationship Id="rId128" Type="http://schemas.openxmlformats.org/officeDocument/2006/relationships/hyperlink" Target="https://corrections.utah.gov" TargetMode="External"/><Relationship Id="rId249" Type="http://schemas.openxmlformats.org/officeDocument/2006/relationships/hyperlink" Target="https://jcc.utah.gov/" TargetMode="External"/><Relationship Id="rId127" Type="http://schemas.openxmlformats.org/officeDocument/2006/relationships/hyperlink" Target="https://coronavirus.utah.gov" TargetMode="External"/><Relationship Id="rId248" Type="http://schemas.openxmlformats.org/officeDocument/2006/relationships/hyperlink" Target="https://jcc.utah.gov" TargetMode="External"/><Relationship Id="rId369" Type="http://schemas.openxmlformats.org/officeDocument/2006/relationships/hyperlink" Target="https://secured.utah.gov/utoutdoorrecdirectory/Forms/Page/utoutdoorrecdirectory/utohvcourse" TargetMode="External"/><Relationship Id="rId126" Type="http://schemas.openxmlformats.org/officeDocument/2006/relationships/hyperlink" Target="https://contractorzone.udot.utah.gov/" TargetMode="External"/><Relationship Id="rId247" Type="http://schemas.openxmlformats.org/officeDocument/2006/relationships/hyperlink" Target="https://inlandportauthority.utah.gov" TargetMode="External"/><Relationship Id="rId368" Type="http://schemas.openxmlformats.org/officeDocument/2006/relationships/hyperlink" Target="https://secured.utah.gov/utoutdoorrecdirectory/Forms/Page/utoutdoorrecdirectory/utohvcourse" TargetMode="External"/><Relationship Id="rId121" Type="http://schemas.openxmlformats.org/officeDocument/2006/relationships/hyperlink" Target="https://cism.utah.gov" TargetMode="External"/><Relationship Id="rId242" Type="http://schemas.openxmlformats.org/officeDocument/2006/relationships/hyperlink" Target="https://incometax.utah.gov" TargetMode="External"/><Relationship Id="rId363" Type="http://schemas.openxmlformats.org/officeDocument/2006/relationships/hyperlink" Target="https://secure.utah.gov/voterreg" TargetMode="External"/><Relationship Id="rId120" Type="http://schemas.openxmlformats.org/officeDocument/2006/relationships/hyperlink" Target="https://chipespanol.utah.gov" TargetMode="External"/><Relationship Id="rId241" Type="http://schemas.openxmlformats.org/officeDocument/2006/relationships/hyperlink" Target="https://incometax.utah.gov" TargetMode="External"/><Relationship Id="rId362" Type="http://schemas.openxmlformats.org/officeDocument/2006/relationships/hyperlink" Target="https://secure.utah.gov/vitalrecords/" TargetMode="External"/><Relationship Id="rId240" Type="http://schemas.openxmlformats.org/officeDocument/2006/relationships/hyperlink" Target="https://immunize.utah.gov" TargetMode="External"/><Relationship Id="rId361" Type="http://schemas.openxmlformats.org/officeDocument/2006/relationships/hyperlink" Target="https://secure.utah.gov/vitalrecords/" TargetMode="External"/><Relationship Id="rId360" Type="http://schemas.openxmlformats.org/officeDocument/2006/relationships/hyperlink" Target="https://secure.utah.gov/trademark/" TargetMode="External"/><Relationship Id="rId125" Type="http://schemas.openxmlformats.org/officeDocument/2006/relationships/hyperlink" Target="https://connecting.utah.gov" TargetMode="External"/><Relationship Id="rId246" Type="http://schemas.openxmlformats.org/officeDocument/2006/relationships/hyperlink" Target="https://informedconsent.utah.gov" TargetMode="External"/><Relationship Id="rId367" Type="http://schemas.openxmlformats.org/officeDocument/2006/relationships/hyperlink" Target="https://secured.utah.gov/ut-archives/Forms/Page/ut-archives/orp/1" TargetMode="External"/><Relationship Id="rId124" Type="http://schemas.openxmlformats.org/officeDocument/2006/relationships/hyperlink" Target="https://community.utah.gov" TargetMode="External"/><Relationship Id="rId245" Type="http://schemas.openxmlformats.org/officeDocument/2006/relationships/hyperlink" Target="https://informedconsent.utah.gov" TargetMode="External"/><Relationship Id="rId366" Type="http://schemas.openxmlformats.org/officeDocument/2006/relationships/hyperlink" Target="https://secured.utah.gov/ut-archives/Forms/Page/ut-archives/orp/1" TargetMode="External"/><Relationship Id="rId123" Type="http://schemas.openxmlformats.org/officeDocument/2006/relationships/hyperlink" Target="https://community.utah.gov" TargetMode="External"/><Relationship Id="rId244" Type="http://schemas.openxmlformats.org/officeDocument/2006/relationships/hyperlink" Target="https://indian.utah.gov/" TargetMode="External"/><Relationship Id="rId365" Type="http://schemas.openxmlformats.org/officeDocument/2006/relationships/hyperlink" Target="https://secure.utah.gov/warrants/" TargetMode="External"/><Relationship Id="rId122" Type="http://schemas.openxmlformats.org/officeDocument/2006/relationships/hyperlink" Target="https://cism.utah.gov" TargetMode="External"/><Relationship Id="rId243" Type="http://schemas.openxmlformats.org/officeDocument/2006/relationships/hyperlink" Target="https://indian.utah.gov/" TargetMode="External"/><Relationship Id="rId364" Type="http://schemas.openxmlformats.org/officeDocument/2006/relationships/hyperlink" Target="https://secure.utah.gov/warrants/" TargetMode="External"/><Relationship Id="rId95" Type="http://schemas.openxmlformats.org/officeDocument/2006/relationships/hyperlink" Target="https://artsandmuseums.utah.gov" TargetMode="External"/><Relationship Id="rId94" Type="http://schemas.openxmlformats.org/officeDocument/2006/relationships/hyperlink" Target="https://artsandmuseums.utah.gov" TargetMode="External"/><Relationship Id="rId97" Type="http://schemas.openxmlformats.org/officeDocument/2006/relationships/hyperlink" Target="https://asthma.utah.gov" TargetMode="External"/><Relationship Id="rId96" Type="http://schemas.openxmlformats.org/officeDocument/2006/relationships/hyperlink" Target="https://asthma.utah.gov" TargetMode="External"/><Relationship Id="rId99" Type="http://schemas.openxmlformats.org/officeDocument/2006/relationships/hyperlink" Target="https://beready.utah.gov" TargetMode="External"/><Relationship Id="rId98" Type="http://schemas.openxmlformats.org/officeDocument/2006/relationships/hyperlink" Target="https://beready.utah.gov" TargetMode="External"/><Relationship Id="rId91" Type="http://schemas.openxmlformats.org/officeDocument/2006/relationships/hyperlink" Target="https://appletree.utah.gov" TargetMode="External"/><Relationship Id="rId90" Type="http://schemas.openxmlformats.org/officeDocument/2006/relationships/hyperlink" Target="https://appletree.utah.gov" TargetMode="External"/><Relationship Id="rId93" Type="http://schemas.openxmlformats.org/officeDocument/2006/relationships/hyperlink" Target="https://archives.utah.gov" TargetMode="External"/><Relationship Id="rId92" Type="http://schemas.openxmlformats.org/officeDocument/2006/relationships/hyperlink" Target="https://archives.utah.gov" TargetMode="External"/><Relationship Id="rId118" Type="http://schemas.openxmlformats.org/officeDocument/2006/relationships/hyperlink" Target="https://chip.utah.gov" TargetMode="External"/><Relationship Id="rId239" Type="http://schemas.openxmlformats.org/officeDocument/2006/relationships/hyperlink" Target="https://immunize.utah.gov" TargetMode="External"/><Relationship Id="rId117" Type="http://schemas.openxmlformats.org/officeDocument/2006/relationships/hyperlink" Target="https://chip.utah.gov" TargetMode="External"/><Relationship Id="rId238" Type="http://schemas.openxmlformats.org/officeDocument/2006/relationships/hyperlink" Target="https://ilovehistory.utah.gov" TargetMode="External"/><Relationship Id="rId359" Type="http://schemas.openxmlformats.org/officeDocument/2006/relationships/hyperlink" Target="https://secure.utah.gov/trademark/" TargetMode="External"/><Relationship Id="rId116" Type="http://schemas.openxmlformats.org/officeDocument/2006/relationships/hyperlink" Target="https://childcarelicensing.utah.gov" TargetMode="External"/><Relationship Id="rId237" Type="http://schemas.openxmlformats.org/officeDocument/2006/relationships/hyperlink" Target="https://ilovehistory.utah.gov" TargetMode="External"/><Relationship Id="rId358" Type="http://schemas.openxmlformats.org/officeDocument/2006/relationships/hyperlink" Target="https://secure.utah.gov/station/" TargetMode="External"/><Relationship Id="rId115" Type="http://schemas.openxmlformats.org/officeDocument/2006/relationships/hyperlink" Target="https://childcarelicensing.utah.gov" TargetMode="External"/><Relationship Id="rId236" Type="http://schemas.openxmlformats.org/officeDocument/2006/relationships/hyperlink" Target="https://idc.utah.gov/" TargetMode="External"/><Relationship Id="rId357" Type="http://schemas.openxmlformats.org/officeDocument/2006/relationships/hyperlink" Target="https://secure.utah.gov/spot/" TargetMode="External"/><Relationship Id="rId119" Type="http://schemas.openxmlformats.org/officeDocument/2006/relationships/hyperlink" Target="https://chipespanol.utah.gov" TargetMode="External"/><Relationship Id="rId110" Type="http://schemas.openxmlformats.org/officeDocument/2006/relationships/hyperlink" Target="https://business.utah.gov" TargetMode="External"/><Relationship Id="rId231" Type="http://schemas.openxmlformats.org/officeDocument/2006/relationships/hyperlink" Target="https://hivandme.com" TargetMode="External"/><Relationship Id="rId352" Type="http://schemas.openxmlformats.org/officeDocument/2006/relationships/hyperlink" Target="https://secure.utah.gov/rex/" TargetMode="External"/><Relationship Id="rId230" Type="http://schemas.openxmlformats.org/officeDocument/2006/relationships/hyperlink" Target="https://hivandme.com" TargetMode="External"/><Relationship Id="rId351" Type="http://schemas.openxmlformats.org/officeDocument/2006/relationships/hyperlink" Target="https://secure.utah.gov/rer/rer" TargetMode="External"/><Relationship Id="rId350" Type="http://schemas.openxmlformats.org/officeDocument/2006/relationships/hyperlink" Target="https://secure.utah.gov/rer/rer" TargetMode="External"/><Relationship Id="rId114" Type="http://schemas.openxmlformats.org/officeDocument/2006/relationships/hyperlink" Target="https://catchtheanswers.utah.gov" TargetMode="External"/><Relationship Id="rId235" Type="http://schemas.openxmlformats.org/officeDocument/2006/relationships/hyperlink" Target="https://hwic.utah.gov" TargetMode="External"/><Relationship Id="rId356" Type="http://schemas.openxmlformats.org/officeDocument/2006/relationships/hyperlink" Target="https://secure.utah.gov/serv1-hflo/hflo" TargetMode="External"/><Relationship Id="rId113" Type="http://schemas.openxmlformats.org/officeDocument/2006/relationships/hyperlink" Target="https://catchtheanswers.utah.gov" TargetMode="External"/><Relationship Id="rId234" Type="http://schemas.openxmlformats.org/officeDocument/2006/relationships/hyperlink" Target="https://hwic.utah.gov" TargetMode="External"/><Relationship Id="rId355" Type="http://schemas.openxmlformats.org/officeDocument/2006/relationships/hyperlink" Target="https://secure.utah.gov/serv1-hflo/hflo" TargetMode="External"/><Relationship Id="rId112" Type="http://schemas.openxmlformats.org/officeDocument/2006/relationships/hyperlink" Target="https://cancer.utah.gov" TargetMode="External"/><Relationship Id="rId233" Type="http://schemas.openxmlformats.org/officeDocument/2006/relationships/hyperlink" Target="https://hris.utah.gov" TargetMode="External"/><Relationship Id="rId354" Type="http://schemas.openxmlformats.org/officeDocument/2006/relationships/hyperlink" Target="https://secure.utah.gov/scr/" TargetMode="External"/><Relationship Id="rId111" Type="http://schemas.openxmlformats.org/officeDocument/2006/relationships/hyperlink" Target="https://cancer.utah.gov" TargetMode="External"/><Relationship Id="rId232" Type="http://schemas.openxmlformats.org/officeDocument/2006/relationships/hyperlink" Target="https://hris.utah.gov" TargetMode="External"/><Relationship Id="rId353" Type="http://schemas.openxmlformats.org/officeDocument/2006/relationships/hyperlink" Target="https://secure.utah.gov/scr/" TargetMode="External"/><Relationship Id="rId305" Type="http://schemas.openxmlformats.org/officeDocument/2006/relationships/hyperlink" Target="https://patientsafety.utah.gov" TargetMode="External"/><Relationship Id="rId304" Type="http://schemas.openxmlformats.org/officeDocument/2006/relationships/hyperlink" Target="https://patientsafety.utah.gov" TargetMode="External"/><Relationship Id="rId303" Type="http://schemas.openxmlformats.org/officeDocument/2006/relationships/hyperlink" Target="https://ors.utah.gov" TargetMode="External"/><Relationship Id="rId302" Type="http://schemas.openxmlformats.org/officeDocument/2006/relationships/hyperlink" Target="https://ors.utah.gov" TargetMode="External"/><Relationship Id="rId309" Type="http://schemas.openxmlformats.org/officeDocument/2006/relationships/hyperlink" Target="https://producesafety.utah.gov" TargetMode="External"/><Relationship Id="rId308" Type="http://schemas.openxmlformats.org/officeDocument/2006/relationships/hyperlink" Target="https://privacy.utah.gov/" TargetMode="External"/><Relationship Id="rId307" Type="http://schemas.openxmlformats.org/officeDocument/2006/relationships/hyperlink" Target="https://privacy.utah.gov/" TargetMode="External"/><Relationship Id="rId306" Type="http://schemas.openxmlformats.org/officeDocument/2006/relationships/hyperlink" Target="https://performance.utah.gov" TargetMode="External"/><Relationship Id="rId301" Type="http://schemas.openxmlformats.org/officeDocument/2006/relationships/hyperlink" Target="https://opidemic.utah.gov" TargetMode="External"/><Relationship Id="rId300" Type="http://schemas.openxmlformats.org/officeDocument/2006/relationships/hyperlink" Target="https://opidemic.utah.gov" TargetMode="External"/><Relationship Id="rId415" Type="http://schemas.openxmlformats.org/officeDocument/2006/relationships/hyperlink" Target="https://www.brands.utah.gov" TargetMode="External"/><Relationship Id="rId414" Type="http://schemas.openxmlformats.org/officeDocument/2006/relationships/hyperlink" Target="https://www.ai.utah.gov" TargetMode="External"/><Relationship Id="rId413" Type="http://schemas.openxmlformats.org/officeDocument/2006/relationships/hyperlink" Target="https://www.ai.utah.gov" TargetMode="External"/><Relationship Id="rId412" Type="http://schemas.openxmlformats.org/officeDocument/2006/relationships/hyperlink" Target="https://wri.utah.gov/wri/" TargetMode="External"/><Relationship Id="rId418" Type="http://schemas.openxmlformats.org/officeDocument/2006/relationships/drawing" Target="../drawings/drawing4.xml"/><Relationship Id="rId417" Type="http://schemas.openxmlformats.org/officeDocument/2006/relationships/hyperlink" Target="https://www.oplr.utah.gov" TargetMode="External"/><Relationship Id="rId416" Type="http://schemas.openxmlformats.org/officeDocument/2006/relationships/hyperlink" Target="https://www.oplr.utah.gov" TargetMode="External"/><Relationship Id="rId411" Type="http://schemas.openxmlformats.org/officeDocument/2006/relationships/hyperlink" Target="https://wri.utah.gov/wri/" TargetMode="External"/><Relationship Id="rId410" Type="http://schemas.openxmlformats.org/officeDocument/2006/relationships/hyperlink" Target="https://wildlifemigration.utah.gov/" TargetMode="External"/><Relationship Id="rId206" Type="http://schemas.openxmlformats.org/officeDocument/2006/relationships/hyperlink" Target="https://graymatters.utah.gov" TargetMode="External"/><Relationship Id="rId327" Type="http://schemas.openxmlformats.org/officeDocument/2006/relationships/hyperlink" Target="https://secure.utah.gov/ce-provider" TargetMode="External"/><Relationship Id="rId205" Type="http://schemas.openxmlformats.org/officeDocument/2006/relationships/hyperlink" Target="https://graymatters.utah.gov" TargetMode="External"/><Relationship Id="rId326" Type="http://schemas.openxmlformats.org/officeDocument/2006/relationships/hyperlink" Target="https://secure.utah.gov/ce-provider" TargetMode="External"/><Relationship Id="rId204" Type="http://schemas.openxmlformats.org/officeDocument/2006/relationships/hyperlink" Target="https://govops.utah.gov" TargetMode="External"/><Relationship Id="rId325" Type="http://schemas.openxmlformats.org/officeDocument/2006/relationships/hyperlink" Target="https://safeathome.utah.gov" TargetMode="External"/><Relationship Id="rId203" Type="http://schemas.openxmlformats.org/officeDocument/2006/relationships/hyperlink" Target="https://govops.utah.gov" TargetMode="External"/><Relationship Id="rId324" Type="http://schemas.openxmlformats.org/officeDocument/2006/relationships/hyperlink" Target="https://ruralhealth.utah.gov" TargetMode="External"/><Relationship Id="rId209" Type="http://schemas.openxmlformats.org/officeDocument/2006/relationships/hyperlink" Target="https://guard.utah.gov" TargetMode="External"/><Relationship Id="rId208" Type="http://schemas.openxmlformats.org/officeDocument/2006/relationships/hyperlink" Target="https://greatsaltlake.utah.gov" TargetMode="External"/><Relationship Id="rId329" Type="http://schemas.openxmlformats.org/officeDocument/2006/relationships/hyperlink" Target="https://secure.utah.gov/concealed-firearms/" TargetMode="External"/><Relationship Id="rId207" Type="http://schemas.openxmlformats.org/officeDocument/2006/relationships/hyperlink" Target="https://greatsaltlake.utah.gov" TargetMode="External"/><Relationship Id="rId328" Type="http://schemas.openxmlformats.org/officeDocument/2006/relationships/hyperlink" Target="https://secure.utah.gov/concealed-firearms/" TargetMode="External"/><Relationship Id="rId202" Type="http://schemas.openxmlformats.org/officeDocument/2006/relationships/hyperlink" Target="https://governor.utah.gov" TargetMode="External"/><Relationship Id="rId323" Type="http://schemas.openxmlformats.org/officeDocument/2006/relationships/hyperlink" Target="https://ruralhealth.utah.gov" TargetMode="External"/><Relationship Id="rId201" Type="http://schemas.openxmlformats.org/officeDocument/2006/relationships/hyperlink" Target="https://gomb.utah.gov" TargetMode="External"/><Relationship Id="rId322" Type="http://schemas.openxmlformats.org/officeDocument/2006/relationships/hyperlink" Target="https://rules.utah.gov" TargetMode="External"/><Relationship Id="rId200" Type="http://schemas.openxmlformats.org/officeDocument/2006/relationships/hyperlink" Target="https://gateway.utah.gov" TargetMode="External"/><Relationship Id="rId321" Type="http://schemas.openxmlformats.org/officeDocument/2006/relationships/hyperlink" Target="https://rules.utah.gov" TargetMode="External"/><Relationship Id="rId320" Type="http://schemas.openxmlformats.org/officeDocument/2006/relationships/hyperlink" Target="https://risk.utah.gov" TargetMode="External"/><Relationship Id="rId316" Type="http://schemas.openxmlformats.org/officeDocument/2006/relationships/hyperlink" Target="https://recreation.utah.gov" TargetMode="External"/><Relationship Id="rId315" Type="http://schemas.openxmlformats.org/officeDocument/2006/relationships/hyperlink" Target="https://purchasing.utah.gov" TargetMode="External"/><Relationship Id="rId314" Type="http://schemas.openxmlformats.org/officeDocument/2006/relationships/hyperlink" Target="https://purchasing.utah.gov" TargetMode="External"/><Relationship Id="rId313" Type="http://schemas.openxmlformats.org/officeDocument/2006/relationships/hyperlink" Target="https://publiclands.utah.gov" TargetMode="External"/><Relationship Id="rId319" Type="http://schemas.openxmlformats.org/officeDocument/2006/relationships/hyperlink" Target="https://risk.utah.gov" TargetMode="External"/><Relationship Id="rId318" Type="http://schemas.openxmlformats.org/officeDocument/2006/relationships/hyperlink" Target="https://relay.utah.gov" TargetMode="External"/><Relationship Id="rId317" Type="http://schemas.openxmlformats.org/officeDocument/2006/relationships/hyperlink" Target="https://recreation.utah.gov" TargetMode="External"/><Relationship Id="rId312" Type="http://schemas.openxmlformats.org/officeDocument/2006/relationships/hyperlink" Target="https://publiclands.utah.gov" TargetMode="External"/><Relationship Id="rId311" Type="http://schemas.openxmlformats.org/officeDocument/2006/relationships/hyperlink" Target="https://propertytax.utah.gov" TargetMode="External"/><Relationship Id="rId310" Type="http://schemas.openxmlformats.org/officeDocument/2006/relationships/hyperlink" Target="https://propertytax.utah.gov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26.38"/>
    <col customWidth="1" min="3" max="3" width="14.13"/>
    <col customWidth="1" min="4" max="5" width="37.13"/>
    <col customWidth="1" min="6" max="6" width="17.25"/>
    <col customWidth="1" min="7" max="7" width="30.88"/>
    <col customWidth="1" min="8" max="8" width="39.25"/>
    <col customWidth="1" min="9" max="9" width="29.5"/>
    <col customWidth="1" min="10" max="10" width="57.5"/>
    <col customWidth="1" min="11" max="11" width="13.88"/>
  </cols>
  <sheetData>
    <row r="1">
      <c r="A1" s="2" t="s">
        <v>1</v>
      </c>
      <c r="B1" s="2" t="s">
        <v>7</v>
      </c>
      <c r="C1" s="2" t="s">
        <v>9</v>
      </c>
      <c r="D1" s="4" t="s">
        <v>12</v>
      </c>
      <c r="E1" s="4" t="s">
        <v>13</v>
      </c>
      <c r="F1" s="2" t="s">
        <v>14</v>
      </c>
      <c r="G1" s="2" t="s">
        <v>17</v>
      </c>
      <c r="H1" s="2" t="s">
        <v>18</v>
      </c>
      <c r="I1" s="2" t="s">
        <v>19</v>
      </c>
      <c r="J1" s="2" t="s">
        <v>20</v>
      </c>
      <c r="K1" s="7" t="s">
        <v>22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>
      <c r="A2" s="2" t="s">
        <v>32</v>
      </c>
      <c r="B2" s="2" t="s">
        <v>33</v>
      </c>
      <c r="C2" s="2" t="s">
        <v>34</v>
      </c>
      <c r="D2" s="12" t="str">
        <f>IFERROR(__xludf.DUMMYFUNCTION("REGEXEXTRACT(E2, ""^(?:https?:\/\/)?(?:www\.)?([^\/]+)"")"),"bop.utah.gov")</f>
        <v>bop.utah.gov</v>
      </c>
      <c r="E2" s="14" t="s">
        <v>36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9" t="str">
        <f>IF(H2="", "", IF(ISNUMBER(_xlfn.XMATCH(H2, 'Viks State Rollup Sheet'!G:G)), "Found in Rollup", "MISSING in Rollup"))</f>
        <v>Found in Rollup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>
      <c r="A3" s="2" t="s">
        <v>47</v>
      </c>
      <c r="B3" s="2" t="s">
        <v>48</v>
      </c>
      <c r="C3" s="2" t="s">
        <v>50</v>
      </c>
      <c r="D3" s="12" t="str">
        <f>IFERROR(__xludf.DUMMYFUNCTION("REGEXEXTRACT(E3, ""^(?:https?:\/\/)?(?:www\.)?([^\/]+)"")"),"artsandmuseums.utah.gov")</f>
        <v>artsandmuseums.utah.gov</v>
      </c>
      <c r="E3" s="2" t="s">
        <v>48</v>
      </c>
      <c r="F3" s="2" t="s">
        <v>38</v>
      </c>
      <c r="G3" s="2" t="s">
        <v>52</v>
      </c>
      <c r="H3" s="2" t="s">
        <v>53</v>
      </c>
      <c r="I3" s="2" t="s">
        <v>41</v>
      </c>
      <c r="J3" s="2" t="s">
        <v>55</v>
      </c>
      <c r="K3" s="9" t="str">
        <f>IF(H3="", "", IF(ISNUMBER(_xlfn.XMATCH(H3, 'Viks State Rollup Sheet'!G:G)), "Found in Rollup", "MISSING in Rollup"))</f>
        <v>Found in Rollup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>
      <c r="A4" s="2" t="s">
        <v>47</v>
      </c>
      <c r="B4" s="2" t="s">
        <v>56</v>
      </c>
      <c r="C4" s="2" t="s">
        <v>57</v>
      </c>
      <c r="D4" s="12" t="str">
        <f>IFERROR(__xludf.DUMMYFUNCTION("REGEXEXTRACT(E4, ""^(?:https?:\/\/)?(?:www\.)?([^\/]+)"")"),"indian.utah.gov")</f>
        <v>indian.utah.gov</v>
      </c>
      <c r="E4" s="2" t="s">
        <v>56</v>
      </c>
      <c r="F4" s="2" t="s">
        <v>38</v>
      </c>
      <c r="G4" s="2" t="s">
        <v>52</v>
      </c>
      <c r="H4" s="2" t="s">
        <v>59</v>
      </c>
      <c r="I4" s="2" t="s">
        <v>41</v>
      </c>
      <c r="J4" s="2" t="s">
        <v>60</v>
      </c>
      <c r="K4" s="9" t="str">
        <f>IF(H4="", "", IF(ISNUMBER(_xlfn.XMATCH(H4, 'Viks State Rollup Sheet'!G:G)), "Found in Rollup", "MISSING in Rollup"))</f>
        <v>Found in Rollup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>
      <c r="A5" s="2" t="s">
        <v>47</v>
      </c>
      <c r="B5" s="2" t="s">
        <v>64</v>
      </c>
      <c r="C5" s="2" t="s">
        <v>65</v>
      </c>
      <c r="D5" s="12" t="str">
        <f>IFERROR(__xludf.DUMMYFUNCTION("REGEXEXTRACT(E5, ""^(?:https?:\/\/)?(?:www\.)?([^\/]+)"")"),"multicultural.utah.gov")</f>
        <v>multicultural.utah.gov</v>
      </c>
      <c r="E5" s="2" t="s">
        <v>64</v>
      </c>
      <c r="F5" s="2" t="s">
        <v>38</v>
      </c>
      <c r="G5" s="2" t="s">
        <v>52</v>
      </c>
      <c r="H5" s="2" t="s">
        <v>66</v>
      </c>
      <c r="I5" s="2" t="s">
        <v>41</v>
      </c>
      <c r="J5" s="2" t="s">
        <v>67</v>
      </c>
      <c r="K5" s="9" t="str">
        <f>IF(H5="", "", IF(ISNUMBER(_xlfn.XMATCH(H5, 'Viks State Rollup Sheet'!G:G)), "Found in Rollup", "MISSING in Rollup"))</f>
        <v>Found in Rollup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>
      <c r="A6" s="2" t="s">
        <v>47</v>
      </c>
      <c r="B6" s="2" t="s">
        <v>72</v>
      </c>
      <c r="C6" s="2" t="s">
        <v>73</v>
      </c>
      <c r="D6" s="12" t="str">
        <f>IFERROR(__xludf.DUMMYFUNCTION("REGEXEXTRACT(E6, ""^(?:https?:\/\/)?(?:www\.)?([^\/]+)"")"),"community.utah.gov")</f>
        <v>community.utah.gov</v>
      </c>
      <c r="E6" s="2" t="s">
        <v>72</v>
      </c>
      <c r="F6" s="2" t="s">
        <v>38</v>
      </c>
      <c r="G6" s="2" t="s">
        <v>52</v>
      </c>
      <c r="H6" s="2" t="s">
        <v>74</v>
      </c>
      <c r="I6" s="2" t="s">
        <v>41</v>
      </c>
      <c r="J6" s="2" t="s">
        <v>75</v>
      </c>
      <c r="K6" s="9" t="str">
        <f>IF(H6="", "", IF(ISNUMBER(_xlfn.XMATCH(H6, 'Viks State Rollup Sheet'!G:G)), "Found in Rollup", "MISSING in Rollup"))</f>
        <v>Found in Rollup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>
      <c r="A7" s="2" t="s">
        <v>47</v>
      </c>
      <c r="B7" s="2" t="s">
        <v>76</v>
      </c>
      <c r="C7" s="2" t="s">
        <v>77</v>
      </c>
      <c r="D7" s="12" t="str">
        <f>IFERROR(__xludf.DUMMYFUNCTION("REGEXEXTRACT(E7, ""^(?:https?:\/\/)?(?:www\.)?([^\/]+)"")"),"community.utah.gov")</f>
        <v>community.utah.gov</v>
      </c>
      <c r="E7" s="2" t="s">
        <v>76</v>
      </c>
      <c r="F7" s="2" t="s">
        <v>38</v>
      </c>
      <c r="G7" s="2" t="s">
        <v>52</v>
      </c>
      <c r="H7" s="2" t="s">
        <v>74</v>
      </c>
      <c r="I7" s="2" t="s">
        <v>41</v>
      </c>
      <c r="J7" s="2" t="s">
        <v>75</v>
      </c>
      <c r="K7" s="9" t="str">
        <f>IF(H7="", "", IF(ISNUMBER(_xlfn.XMATCH(H7, 'Viks State Rollup Sheet'!G:G)), "Found in Rollup", "MISSING in Rollup"))</f>
        <v>Found in Rollup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>
      <c r="A8" s="2" t="s">
        <v>47</v>
      </c>
      <c r="B8" s="2" t="s">
        <v>81</v>
      </c>
      <c r="C8" s="2" t="s">
        <v>82</v>
      </c>
      <c r="D8" s="12" t="str">
        <f>IFERROR(__xludf.DUMMYFUNCTION("REGEXEXTRACT(E8, ""^(?:https?:\/\/)?(?:www\.)?([^\/]+)"")"),"ushpo.utah.gov")</f>
        <v>ushpo.utah.gov</v>
      </c>
      <c r="E8" s="2" t="s">
        <v>81</v>
      </c>
      <c r="F8" s="2" t="s">
        <v>38</v>
      </c>
      <c r="G8" s="2" t="s">
        <v>52</v>
      </c>
      <c r="H8" s="2" t="s">
        <v>84</v>
      </c>
      <c r="I8" s="2" t="s">
        <v>41</v>
      </c>
      <c r="J8" s="2" t="s">
        <v>86</v>
      </c>
      <c r="K8" s="9" t="str">
        <f>IF(H8="", "", IF(ISNUMBER(_xlfn.XMATCH(H8, 'Viks State Rollup Sheet'!G:G)), "Found in Rollup", "MISSING in Rollup"))</f>
        <v>Found in Rollup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>
      <c r="A9" s="2" t="s">
        <v>47</v>
      </c>
      <c r="B9" s="2" t="s">
        <v>97</v>
      </c>
      <c r="C9" s="2" t="s">
        <v>99</v>
      </c>
      <c r="D9" s="12" t="str">
        <f>IFERROR(__xludf.DUMMYFUNCTION("REGEXEXTRACT(E9, ""^(?:https?:\/\/)?(?:www\.)?([^\/]+)"")"),"userve.utah.gov")</f>
        <v>userve.utah.gov</v>
      </c>
      <c r="E9" s="2" t="s">
        <v>97</v>
      </c>
      <c r="F9" s="2" t="s">
        <v>38</v>
      </c>
      <c r="G9" s="2" t="s">
        <v>52</v>
      </c>
      <c r="H9" s="2" t="s">
        <v>100</v>
      </c>
      <c r="I9" s="2" t="s">
        <v>41</v>
      </c>
      <c r="J9" s="2" t="s">
        <v>101</v>
      </c>
      <c r="K9" s="9" t="str">
        <f>IF(H9="", "", IF(ISNUMBER(_xlfn.XMATCH(H9, 'Viks State Rollup Sheet'!G:G)), "Found in Rollup", "MISSING in Rollup"))</f>
        <v>Found in Rollup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>
      <c r="A10" s="2" t="s">
        <v>47</v>
      </c>
      <c r="B10" s="2" t="s">
        <v>104</v>
      </c>
      <c r="C10" s="2" t="s">
        <v>105</v>
      </c>
      <c r="D10" s="12" t="str">
        <f>IFERROR(__xludf.DUMMYFUNCTION("REGEXEXTRACT(E10, ""^(?:https?:\/\/)?(?:www\.)?([^\/]+)"")"),"library.utah.gov")</f>
        <v>library.utah.gov</v>
      </c>
      <c r="E10" s="2" t="s">
        <v>104</v>
      </c>
      <c r="F10" s="2" t="s">
        <v>38</v>
      </c>
      <c r="G10" s="2" t="s">
        <v>52</v>
      </c>
      <c r="H10" s="15" t="s">
        <v>111</v>
      </c>
      <c r="I10" s="2" t="s">
        <v>41</v>
      </c>
      <c r="J10" s="2" t="s">
        <v>112</v>
      </c>
      <c r="K10" s="9" t="str">
        <f>IF(H10="", "", IF(ISNUMBER(_xlfn.XMATCH(H10, 'Viks State Rollup Sheet'!G:G)), "Found in Rollup", "MISSING in Rollup"))</f>
        <v>Found in Rollup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>
      <c r="A11" s="2" t="s">
        <v>120</v>
      </c>
      <c r="B11" s="2" t="s">
        <v>122</v>
      </c>
      <c r="C11" s="2" t="s">
        <v>123</v>
      </c>
      <c r="D11" s="12" t="str">
        <f>IFERROR(__xludf.DUMMYFUNCTION("REGEXEXTRACT(E11, ""^(?:https?:\/\/)?(?:www\.)?([^\/]+)"")"),"judicialvacancy.utah.gov")</f>
        <v>judicialvacancy.utah.gov</v>
      </c>
      <c r="E11" s="2" t="s">
        <v>122</v>
      </c>
      <c r="F11" s="2" t="s">
        <v>38</v>
      </c>
      <c r="G11" s="2" t="s">
        <v>52</v>
      </c>
      <c r="H11" s="2" t="s">
        <v>127</v>
      </c>
      <c r="I11" s="2" t="s">
        <v>41</v>
      </c>
      <c r="J11" s="2" t="s">
        <v>128</v>
      </c>
      <c r="K11" s="9" t="str">
        <f>IF(H11="", "", IF(ISNUMBER(_xlfn.XMATCH(H11, 'Viks State Rollup Sheet'!G:G)), "Found in Rollup", "MISSING in Rollup"))</f>
        <v>MISSING in Rollup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>
      <c r="A12" s="2" t="s">
        <v>120</v>
      </c>
      <c r="B12" s="2" t="s">
        <v>134</v>
      </c>
      <c r="C12" s="2" t="s">
        <v>135</v>
      </c>
      <c r="D12" s="12" t="str">
        <f>IFERROR(__xludf.DUMMYFUNCTION("REGEXEXTRACT(E12, ""^(?:https?:\/\/)?(?:www\.)?([^\/]+)"")"),"justice.utah.gov")</f>
        <v>justice.utah.gov</v>
      </c>
      <c r="E12" s="2" t="s">
        <v>134</v>
      </c>
      <c r="F12" s="2" t="s">
        <v>38</v>
      </c>
      <c r="G12" s="2" t="s">
        <v>52</v>
      </c>
      <c r="H12" s="2" t="s">
        <v>139</v>
      </c>
      <c r="I12" s="2" t="s">
        <v>41</v>
      </c>
      <c r="J12" s="2" t="s">
        <v>142</v>
      </c>
      <c r="K12" s="9" t="str">
        <f>IF(H12="", "", IF(ISNUMBER(_xlfn.XMATCH(H12, 'Viks State Rollup Sheet'!G:G)), "Found in Rollup", "MISSING in Rollup"))</f>
        <v>Found in Rollup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>
      <c r="A13" s="18" t="s">
        <v>120</v>
      </c>
      <c r="B13" s="19" t="s">
        <v>147</v>
      </c>
      <c r="C13" s="18" t="e">
        <v>#N/A</v>
      </c>
      <c r="D13" s="12" t="str">
        <f>IFERROR(__xludf.DUMMYFUNCTION("REGEXEXTRACT(E13, ""^(?:https?:\/\/)?(?:www\.)?([^\/]+)"")"),"justice.utah.gov")</f>
        <v>justice.utah.gov</v>
      </c>
      <c r="E13" s="18" t="s">
        <v>147</v>
      </c>
      <c r="F13" s="18" t="s">
        <v>151</v>
      </c>
      <c r="G13" s="2" t="s">
        <v>152</v>
      </c>
      <c r="H13" s="2" t="s">
        <v>139</v>
      </c>
      <c r="I13" s="2" t="s">
        <v>41</v>
      </c>
      <c r="J13" s="2" t="s">
        <v>142</v>
      </c>
      <c r="K13" s="9" t="str">
        <f>IF(H13="", "", IF(ISNUMBER(_xlfn.XMATCH(H13, 'Viks State Rollup Sheet'!G:G)), "Found in Rollup", "MISSING in Rollup"))</f>
        <v>Found in Rollup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>
      <c r="A14" s="2" t="s">
        <v>120</v>
      </c>
      <c r="B14" s="2" t="s">
        <v>154</v>
      </c>
      <c r="C14" s="2" t="s">
        <v>155</v>
      </c>
      <c r="D14" s="12" t="str">
        <f>IFERROR(__xludf.DUMMYFUNCTION("REGEXEXTRACT(E14, ""^(?:https?:\/\/)?(?:www\.)?([^\/]+)"")"),"justice.utah.gov")</f>
        <v>justice.utah.gov</v>
      </c>
      <c r="E14" s="2" t="s">
        <v>154</v>
      </c>
      <c r="F14" s="2" t="s">
        <v>38</v>
      </c>
      <c r="G14" s="2" t="s">
        <v>52</v>
      </c>
      <c r="H14" s="2" t="s">
        <v>139</v>
      </c>
      <c r="I14" s="2" t="s">
        <v>41</v>
      </c>
      <c r="J14" s="2" t="s">
        <v>142</v>
      </c>
      <c r="K14" s="9" t="str">
        <f>IF(H14="", "", IF(ISNUMBER(_xlfn.XMATCH(H14, 'Viks State Rollup Sheet'!G:G)), "Found in Rollup", "MISSING in Rollup"))</f>
        <v>Found in Rollup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>
      <c r="A15" s="2" t="s">
        <v>120</v>
      </c>
      <c r="B15" s="2" t="s">
        <v>162</v>
      </c>
      <c r="C15" s="2" t="s">
        <v>163</v>
      </c>
      <c r="D15" s="12" t="str">
        <f>IFERROR(__xludf.DUMMYFUNCTION("REGEXEXTRACT(E15, ""^(?:https?:\/\/)?(?:www\.)?([^\/]+)"")"),"justice.utah.gov")</f>
        <v>justice.utah.gov</v>
      </c>
      <c r="E15" s="2" t="s">
        <v>162</v>
      </c>
      <c r="F15" s="2" t="s">
        <v>38</v>
      </c>
      <c r="G15" s="2" t="s">
        <v>52</v>
      </c>
      <c r="H15" s="2" t="s">
        <v>139</v>
      </c>
      <c r="I15" s="2" t="s">
        <v>41</v>
      </c>
      <c r="J15" s="2" t="s">
        <v>142</v>
      </c>
      <c r="K15" s="9" t="str">
        <f>IF(H15="", "", IF(ISNUMBER(_xlfn.XMATCH(H15, 'Viks State Rollup Sheet'!G:G)), "Found in Rollup", "MISSING in Rollup"))</f>
        <v>Found in Rollup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>
      <c r="A16" s="2" t="s">
        <v>120</v>
      </c>
      <c r="B16" s="2" t="s">
        <v>170</v>
      </c>
      <c r="C16" s="2" t="s">
        <v>171</v>
      </c>
      <c r="D16" s="12" t="str">
        <f>IFERROR(__xludf.DUMMYFUNCTION("REGEXEXTRACT(E16, ""^(?:https?:\/\/)?(?:www\.)?([^\/]+)"")"),"justice.utah.gov")</f>
        <v>justice.utah.gov</v>
      </c>
      <c r="E16" s="2" t="s">
        <v>170</v>
      </c>
      <c r="F16" s="2" t="s">
        <v>38</v>
      </c>
      <c r="G16" s="2" t="s">
        <v>52</v>
      </c>
      <c r="H16" s="2" t="s">
        <v>139</v>
      </c>
      <c r="I16" s="2" t="s">
        <v>41</v>
      </c>
      <c r="J16" s="2" t="s">
        <v>142</v>
      </c>
      <c r="K16" s="9" t="str">
        <f>IF(H16="", "", IF(ISNUMBER(_xlfn.XMATCH(H16, 'Viks State Rollup Sheet'!G:G)), "Found in Rollup", "MISSING in Rollup"))</f>
        <v>Found in Rollup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>
      <c r="A17" s="2" t="s">
        <v>120</v>
      </c>
      <c r="B17" s="2" t="s">
        <v>177</v>
      </c>
      <c r="C17" s="2" t="s">
        <v>178</v>
      </c>
      <c r="D17" s="12" t="str">
        <f>IFERROR(__xludf.DUMMYFUNCTION("REGEXEXTRACT(E17, ""^(?:https?:\/\/)?(?:www\.)?([^\/]+)"")"),"justice.utah.gov")</f>
        <v>justice.utah.gov</v>
      </c>
      <c r="E17" s="2" t="s">
        <v>177</v>
      </c>
      <c r="F17" s="2" t="s">
        <v>38</v>
      </c>
      <c r="G17" s="2" t="s">
        <v>52</v>
      </c>
      <c r="H17" s="2" t="s">
        <v>139</v>
      </c>
      <c r="I17" s="2" t="s">
        <v>41</v>
      </c>
      <c r="J17" s="2" t="s">
        <v>142</v>
      </c>
      <c r="K17" s="9" t="str">
        <f>IF(H17="", "", IF(ISNUMBER(_xlfn.XMATCH(H17, 'Viks State Rollup Sheet'!G:G)), "Found in Rollup", "MISSING in Rollup"))</f>
        <v>Found in Rollup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>
      <c r="A18" s="2" t="s">
        <v>120</v>
      </c>
      <c r="B18" s="2" t="s">
        <v>187</v>
      </c>
      <c r="C18" s="2" t="s">
        <v>189</v>
      </c>
      <c r="D18" s="12" t="str">
        <f>IFERROR(__xludf.DUMMYFUNCTION("REGEXEXTRACT(E18, ""^(?:https?:\/\/)?(?:www\.)?([^\/]+)"")"),"justice.utah.gov")</f>
        <v>justice.utah.gov</v>
      </c>
      <c r="E18" s="2" t="s">
        <v>187</v>
      </c>
      <c r="F18" s="2" t="s">
        <v>38</v>
      </c>
      <c r="G18" s="2" t="s">
        <v>52</v>
      </c>
      <c r="H18" s="2" t="s">
        <v>139</v>
      </c>
      <c r="I18" s="2" t="s">
        <v>41</v>
      </c>
      <c r="J18" s="2" t="s">
        <v>142</v>
      </c>
      <c r="K18" s="9" t="str">
        <f>IF(H18="", "", IF(ISNUMBER(_xlfn.XMATCH(H18, 'Viks State Rollup Sheet'!G:G)), "Found in Rollup", "MISSING in Rollup"))</f>
        <v>Found in Rollup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>
      <c r="A19" s="18" t="s">
        <v>120</v>
      </c>
      <c r="B19" s="18" t="s">
        <v>190</v>
      </c>
      <c r="C19" s="18" t="e">
        <v>#N/A</v>
      </c>
      <c r="D19" s="12" t="str">
        <f>IFERROR(__xludf.DUMMYFUNCTION("REGEXEXTRACT(E19, ""^(?:https?:\/\/)?(?:www\.)?([^\/]+)"")"),"justice.utah.gov")</f>
        <v>justice.utah.gov</v>
      </c>
      <c r="E19" s="18" t="s">
        <v>190</v>
      </c>
      <c r="F19" s="18" t="s">
        <v>151</v>
      </c>
      <c r="G19" s="2" t="s">
        <v>152</v>
      </c>
      <c r="H19" s="2" t="s">
        <v>139</v>
      </c>
      <c r="I19" s="2" t="s">
        <v>41</v>
      </c>
      <c r="J19" s="2" t="s">
        <v>142</v>
      </c>
      <c r="K19" s="9" t="str">
        <f>IF(H19="", "", IF(ISNUMBER(_xlfn.XMATCH(H19, 'Viks State Rollup Sheet'!G:G)), "Found in Rollup", "MISSING in Rollup"))</f>
        <v>Found in Rollup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>
      <c r="A20" s="18" t="s">
        <v>120</v>
      </c>
      <c r="B20" s="18" t="s">
        <v>201</v>
      </c>
      <c r="C20" s="18" t="e">
        <v>#N/A</v>
      </c>
      <c r="D20" s="12" t="str">
        <f>IFERROR(__xludf.DUMMYFUNCTION("REGEXEXTRACT(E20, ""^(?:https?:\/\/)?(?:www\.)?([^\/]+)"")"),"justice.utah.gov")</f>
        <v>justice.utah.gov</v>
      </c>
      <c r="E20" s="18" t="s">
        <v>201</v>
      </c>
      <c r="F20" s="18" t="s">
        <v>151</v>
      </c>
      <c r="G20" s="2" t="s">
        <v>152</v>
      </c>
      <c r="H20" s="2" t="s">
        <v>139</v>
      </c>
      <c r="I20" s="2" t="s">
        <v>41</v>
      </c>
      <c r="J20" s="2" t="s">
        <v>142</v>
      </c>
      <c r="K20" s="9" t="str">
        <f>IF(H20="", "", IF(ISNUMBER(_xlfn.XMATCH(H20, 'Viks State Rollup Sheet'!G:G)), "Found in Rollup", "MISSING in Rollup"))</f>
        <v>Found in Rollup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ht="15.75" customHeight="1">
      <c r="A21" s="18" t="s">
        <v>120</v>
      </c>
      <c r="B21" s="18" t="s">
        <v>209</v>
      </c>
      <c r="C21" s="18" t="e">
        <v>#N/A</v>
      </c>
      <c r="D21" s="12" t="str">
        <f>IFERROR(__xludf.DUMMYFUNCTION("REGEXEXTRACT(E21, ""^(?:https?:\/\/)?(?:www\.)?([^\/]+)"")"),"justice.utah.gov")</f>
        <v>justice.utah.gov</v>
      </c>
      <c r="E21" s="18" t="s">
        <v>209</v>
      </c>
      <c r="F21" s="18" t="s">
        <v>151</v>
      </c>
      <c r="G21" s="2" t="s">
        <v>152</v>
      </c>
      <c r="H21" s="2" t="s">
        <v>139</v>
      </c>
      <c r="I21" s="2" t="s">
        <v>41</v>
      </c>
      <c r="J21" s="2" t="s">
        <v>142</v>
      </c>
      <c r="K21" s="9" t="str">
        <f>IF(H21="", "", IF(ISNUMBER(_xlfn.XMATCH(H21, 'Viks State Rollup Sheet'!G:G)), "Found in Rollup", "MISSING in Rollup"))</f>
        <v>Found in Rollup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ht="15.75" customHeight="1">
      <c r="A22" s="2" t="s">
        <v>120</v>
      </c>
      <c r="B22" s="2" t="s">
        <v>218</v>
      </c>
      <c r="C22" s="2" t="s">
        <v>219</v>
      </c>
      <c r="D22" s="12" t="str">
        <f>IFERROR(__xludf.DUMMYFUNCTION("REGEXEXTRACT(E22, ""^(?:https?:\/\/)?(?:www\.)?([^\/]+)"")"),"justice.utah.gov")</f>
        <v>justice.utah.gov</v>
      </c>
      <c r="E22" s="2" t="s">
        <v>218</v>
      </c>
      <c r="F22" s="2" t="s">
        <v>38</v>
      </c>
      <c r="G22" s="2" t="s">
        <v>52</v>
      </c>
      <c r="H22" s="2" t="s">
        <v>139</v>
      </c>
      <c r="I22" s="2" t="s">
        <v>41</v>
      </c>
      <c r="J22" s="2" t="s">
        <v>142</v>
      </c>
      <c r="K22" s="9" t="str">
        <f>IF(H22="", "", IF(ISNUMBER(_xlfn.XMATCH(H22, 'Viks State Rollup Sheet'!G:G)), "Found in Rollup", "MISSING in Rollup"))</f>
        <v>Found in Rollup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ht="15.75" customHeight="1">
      <c r="A23" s="18" t="s">
        <v>120</v>
      </c>
      <c r="B23" s="18" t="s">
        <v>231</v>
      </c>
      <c r="C23" s="18" t="e">
        <v>#N/A</v>
      </c>
      <c r="D23" s="12" t="str">
        <f>IFERROR(__xludf.DUMMYFUNCTION("REGEXEXTRACT(E23, ""^(?:https?:\/\/)?(?:www\.)?([^\/]+)"")"),"justice.utah.gov")</f>
        <v>justice.utah.gov</v>
      </c>
      <c r="E23" s="18" t="s">
        <v>231</v>
      </c>
      <c r="F23" s="18" t="s">
        <v>151</v>
      </c>
      <c r="G23" s="2" t="s">
        <v>152</v>
      </c>
      <c r="H23" s="2" t="s">
        <v>139</v>
      </c>
      <c r="I23" s="2" t="s">
        <v>41</v>
      </c>
      <c r="J23" s="2" t="s">
        <v>142</v>
      </c>
      <c r="K23" s="9" t="str">
        <f>IF(H23="", "", IF(ISNUMBER(_xlfn.XMATCH(H23, 'Viks State Rollup Sheet'!G:G)), "Found in Rollup", "MISSING in Rollup"))</f>
        <v>Found in Rollup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ht="15.75" customHeight="1">
      <c r="A24" s="18" t="s">
        <v>120</v>
      </c>
      <c r="B24" s="18" t="s">
        <v>241</v>
      </c>
      <c r="C24" s="18" t="e">
        <v>#N/A</v>
      </c>
      <c r="D24" s="12" t="str">
        <f>IFERROR(__xludf.DUMMYFUNCTION("REGEXEXTRACT(E24, ""^(?:https?:\/\/)?(?:www\.)?([^\/]+)"")"),"crimevictim.utah.gov")</f>
        <v>crimevictim.utah.gov</v>
      </c>
      <c r="E24" s="18" t="s">
        <v>241</v>
      </c>
      <c r="F24" s="18" t="s">
        <v>151</v>
      </c>
      <c r="G24" s="2" t="s">
        <v>152</v>
      </c>
      <c r="H24" s="2" t="s">
        <v>126</v>
      </c>
      <c r="I24" s="2" t="s">
        <v>41</v>
      </c>
      <c r="J24" s="2" t="s">
        <v>243</v>
      </c>
      <c r="K24" s="9" t="str">
        <f>IF(H24="", "", IF(ISNUMBER(_xlfn.XMATCH(H24, 'Viks State Rollup Sheet'!G:G)), "Found in Rollup", "MISSING in Rollup"))</f>
        <v>Found in Rollup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ht="15.75" customHeight="1">
      <c r="A25" s="18" t="s">
        <v>120</v>
      </c>
      <c r="B25" s="18" t="s">
        <v>251</v>
      </c>
      <c r="C25" s="18" t="e">
        <v>#N/A</v>
      </c>
      <c r="D25" s="12" t="str">
        <f>IFERROR(__xludf.DUMMYFUNCTION("REGEXEXTRACT(E25, ""^(?:https?:\/\/)?(?:www\.)?([^\/]+)"")"),"crimevictim.utah.gov")</f>
        <v>crimevictim.utah.gov</v>
      </c>
      <c r="E25" s="18" t="s">
        <v>251</v>
      </c>
      <c r="F25" s="18" t="s">
        <v>151</v>
      </c>
      <c r="G25" s="2" t="s">
        <v>152</v>
      </c>
      <c r="H25" s="2" t="s">
        <v>126</v>
      </c>
      <c r="I25" s="2" t="s">
        <v>41</v>
      </c>
      <c r="J25" s="2" t="s">
        <v>243</v>
      </c>
      <c r="K25" s="9" t="str">
        <f>IF(H25="", "", IF(ISNUMBER(_xlfn.XMATCH(H25, 'Viks State Rollup Sheet'!G:G)), "Found in Rollup", "MISSING in Rollup"))</f>
        <v>Found in Rollup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ht="15.75" customHeight="1">
      <c r="A26" s="18" t="s">
        <v>120</v>
      </c>
      <c r="B26" s="18" t="s">
        <v>260</v>
      </c>
      <c r="C26" s="18" t="e">
        <v>#N/A</v>
      </c>
      <c r="D26" s="12" t="str">
        <f>IFERROR(__xludf.DUMMYFUNCTION("REGEXEXTRACT(E26, ""^(?:https?:\/\/)?(?:www\.)?([^\/]+)"")"),"crimevictim.utah.gov")</f>
        <v>crimevictim.utah.gov</v>
      </c>
      <c r="E26" s="18" t="s">
        <v>260</v>
      </c>
      <c r="F26" s="18" t="s">
        <v>151</v>
      </c>
      <c r="G26" s="2" t="s">
        <v>152</v>
      </c>
      <c r="H26" s="2" t="s">
        <v>126</v>
      </c>
      <c r="I26" s="2" t="s">
        <v>41</v>
      </c>
      <c r="J26" s="2" t="s">
        <v>243</v>
      </c>
      <c r="K26" s="9" t="str">
        <f>IF(H26="", "", IF(ISNUMBER(_xlfn.XMATCH(H26, 'Viks State Rollup Sheet'!G:G)), "Found in Rollup", "MISSING in Rollup"))</f>
        <v>Found in Rollup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ht="15.75" customHeight="1">
      <c r="A27" s="2" t="s">
        <v>268</v>
      </c>
      <c r="B27" s="2" t="s">
        <v>269</v>
      </c>
      <c r="C27" s="2" t="s">
        <v>270</v>
      </c>
      <c r="D27" s="12" t="str">
        <f>IFERROR(__xludf.DUMMYFUNCTION("REGEXEXTRACT(E27, ""^(?:https?:\/\/)?(?:www\.)?([^\/]+)"")"),"abs.utah.gov")</f>
        <v>abs.utah.gov</v>
      </c>
      <c r="E27" s="2" t="s">
        <v>271</v>
      </c>
      <c r="F27" s="2" t="s">
        <v>38</v>
      </c>
      <c r="G27" s="2" t="s">
        <v>272</v>
      </c>
      <c r="H27" s="15" t="s">
        <v>273</v>
      </c>
      <c r="I27" s="2" t="s">
        <v>41</v>
      </c>
      <c r="J27" s="2" t="s">
        <v>274</v>
      </c>
      <c r="K27" s="9" t="str">
        <f>IF(H27="", "", IF(ISNUMBER(_xlfn.XMATCH(H27, 'Viks State Rollup Sheet'!G:G)), "Found in Rollup", "MISSING in Rollup"))</f>
        <v>Found in Rollup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ht="15.75" customHeight="1">
      <c r="A28" s="22" t="s">
        <v>268</v>
      </c>
      <c r="B28" s="22" t="s">
        <v>276</v>
      </c>
      <c r="C28" s="22" t="s">
        <v>276</v>
      </c>
      <c r="D28" s="12" t="str">
        <f>IFERROR(__xludf.DUMMYFUNCTION("REGEXEXTRACT(E28, ""^(?:https?:\/\/)?(?:www\.)?([^\/]+)"")"),"abs.utah.gov")</f>
        <v>abs.utah.gov</v>
      </c>
      <c r="E28" s="23" t="s">
        <v>277</v>
      </c>
      <c r="F28" s="22" t="s">
        <v>278</v>
      </c>
      <c r="G28" s="2" t="s">
        <v>272</v>
      </c>
      <c r="H28" s="15" t="s">
        <v>273</v>
      </c>
      <c r="I28" s="2" t="s">
        <v>41</v>
      </c>
      <c r="J28" s="2" t="s">
        <v>274</v>
      </c>
      <c r="K28" s="9" t="str">
        <f>IF(H28="", "", IF(ISNUMBER(_xlfn.XMATCH(H28, 'Viks State Rollup Sheet'!G:G)), "Found in Rollup", "MISSING in Rollup"))</f>
        <v>Found in Rollup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ht="15.75" customHeight="1">
      <c r="A29" s="22" t="s">
        <v>268</v>
      </c>
      <c r="B29" s="22" t="s">
        <v>286</v>
      </c>
      <c r="C29" s="22" t="s">
        <v>286</v>
      </c>
      <c r="D29" s="12" t="str">
        <f>IFERROR(__xludf.DUMMYFUNCTION("REGEXEXTRACT(E29, ""^(?:https?:\/\/)?(?:www\.)?([^\/]+)"")"),"abs.utah.gov")</f>
        <v>abs.utah.gov</v>
      </c>
      <c r="E29" s="23" t="s">
        <v>287</v>
      </c>
      <c r="F29" s="22" t="s">
        <v>278</v>
      </c>
      <c r="G29" s="2" t="s">
        <v>272</v>
      </c>
      <c r="H29" s="15" t="s">
        <v>273</v>
      </c>
      <c r="I29" s="2" t="s">
        <v>41</v>
      </c>
      <c r="J29" s="2" t="s">
        <v>274</v>
      </c>
      <c r="K29" s="9" t="str">
        <f>IF(H29="", "", IF(ISNUMBER(_xlfn.XMATCH(H29, 'Viks State Rollup Sheet'!G:G)), "Found in Rollup", "MISSING in Rollup"))</f>
        <v>Found in Rollup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ht="15.75" customHeight="1">
      <c r="A30" s="22" t="s">
        <v>268</v>
      </c>
      <c r="B30" s="22" t="s">
        <v>290</v>
      </c>
      <c r="C30" s="22" t="s">
        <v>290</v>
      </c>
      <c r="D30" s="12" t="str">
        <f>IFERROR(__xludf.DUMMYFUNCTION("REGEXEXTRACT(E30, ""^(?:https?:\/\/)?(?:www\.)?([^\/]+)"")"),"abs.utah.gov")</f>
        <v>abs.utah.gov</v>
      </c>
      <c r="E30" s="23" t="s">
        <v>291</v>
      </c>
      <c r="F30" s="22" t="s">
        <v>278</v>
      </c>
      <c r="G30" s="2" t="s">
        <v>272</v>
      </c>
      <c r="H30" s="15" t="s">
        <v>273</v>
      </c>
      <c r="I30" s="2" t="s">
        <v>41</v>
      </c>
      <c r="J30" s="2" t="s">
        <v>274</v>
      </c>
      <c r="K30" s="9" t="str">
        <f>IF(H30="", "", IF(ISNUMBER(_xlfn.XMATCH(H30, 'Viks State Rollup Sheet'!G:G)), "Found in Rollup", "MISSING in Rollup"))</f>
        <v>Found in Rollup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ht="15.75" customHeight="1">
      <c r="A31" s="22" t="s">
        <v>268</v>
      </c>
      <c r="B31" s="22" t="s">
        <v>294</v>
      </c>
      <c r="C31" s="22" t="s">
        <v>294</v>
      </c>
      <c r="D31" s="12" t="str">
        <f>IFERROR(__xludf.DUMMYFUNCTION("REGEXEXTRACT(E31, ""^(?:https?:\/\/)?(?:www\.)?([^\/]+)"")"),"abs.utah.gov")</f>
        <v>abs.utah.gov</v>
      </c>
      <c r="E31" s="23" t="s">
        <v>295</v>
      </c>
      <c r="F31" s="22" t="s">
        <v>278</v>
      </c>
      <c r="G31" s="2" t="s">
        <v>272</v>
      </c>
      <c r="H31" s="15" t="s">
        <v>273</v>
      </c>
      <c r="I31" s="2" t="s">
        <v>41</v>
      </c>
      <c r="J31" s="2" t="s">
        <v>274</v>
      </c>
      <c r="K31" s="9" t="str">
        <f>IF(H31="", "", IF(ISNUMBER(_xlfn.XMATCH(H31, 'Viks State Rollup Sheet'!G:G)), "Found in Rollup", "MISSING in Rollup"))</f>
        <v>Found in Rollup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ht="15.75" customHeight="1">
      <c r="A32" s="22" t="s">
        <v>268</v>
      </c>
      <c r="B32" s="22" t="s">
        <v>301</v>
      </c>
      <c r="C32" s="22" t="s">
        <v>301</v>
      </c>
      <c r="D32" s="12" t="str">
        <f>IFERROR(__xludf.DUMMYFUNCTION("REGEXEXTRACT(E32, ""^(?:https?:\/\/)?(?:www\.)?([^\/]+)"")"),"abs.utah.gov")</f>
        <v>abs.utah.gov</v>
      </c>
      <c r="E32" s="23" t="s">
        <v>302</v>
      </c>
      <c r="F32" s="22" t="s">
        <v>278</v>
      </c>
      <c r="G32" s="2" t="s">
        <v>272</v>
      </c>
      <c r="H32" s="15" t="s">
        <v>273</v>
      </c>
      <c r="I32" s="2" t="s">
        <v>41</v>
      </c>
      <c r="J32" s="2" t="s">
        <v>274</v>
      </c>
      <c r="K32" s="9" t="str">
        <f>IF(H32="", "", IF(ISNUMBER(_xlfn.XMATCH(H32, 'Viks State Rollup Sheet'!G:G)), "Found in Rollup", "MISSING in Rollup"))</f>
        <v>Found in Rollup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ht="15.75" customHeight="1">
      <c r="A33" s="22" t="s">
        <v>268</v>
      </c>
      <c r="B33" s="22" t="s">
        <v>324</v>
      </c>
      <c r="C33" s="22" t="s">
        <v>324</v>
      </c>
      <c r="D33" s="12" t="str">
        <f>IFERROR(__xludf.DUMMYFUNCTION("REGEXEXTRACT(E33, ""^(?:https?:\/\/)?(?:www\.)?([^\/]+)"")"),"webapps2.abc.utah.gov")</f>
        <v>webapps2.abc.utah.gov</v>
      </c>
      <c r="E33" s="23" t="s">
        <v>325</v>
      </c>
      <c r="F33" s="22" t="s">
        <v>278</v>
      </c>
      <c r="G33" s="2" t="s">
        <v>52</v>
      </c>
      <c r="H33" s="15" t="s">
        <v>273</v>
      </c>
      <c r="I33" s="2" t="s">
        <v>41</v>
      </c>
      <c r="J33" s="2" t="s">
        <v>274</v>
      </c>
      <c r="K33" s="9" t="str">
        <f>IF(H33="", "", IF(ISNUMBER(_xlfn.XMATCH(H33, 'Viks State Rollup Sheet'!G:G)), "Found in Rollup", "MISSING in Rollup"))</f>
        <v>Found in Rollup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ht="15.75" customHeight="1">
      <c r="A34" s="22" t="s">
        <v>268</v>
      </c>
      <c r="B34" s="22" t="s">
        <v>331</v>
      </c>
      <c r="C34" s="22" t="s">
        <v>331</v>
      </c>
      <c r="D34" s="12" t="str">
        <f>IFERROR(__xludf.DUMMYFUNCTION("REGEXEXTRACT(E34, ""^(?:https?:\/\/)?(?:www\.)?([^\/]+)"")"),"webapps2.abc.utah.gov")</f>
        <v>webapps2.abc.utah.gov</v>
      </c>
      <c r="E34" s="23" t="s">
        <v>332</v>
      </c>
      <c r="F34" s="22" t="s">
        <v>278</v>
      </c>
      <c r="G34" s="2" t="s">
        <v>52</v>
      </c>
      <c r="H34" s="15" t="s">
        <v>273</v>
      </c>
      <c r="I34" s="2" t="s">
        <v>41</v>
      </c>
      <c r="J34" s="2" t="s">
        <v>274</v>
      </c>
      <c r="K34" s="9" t="str">
        <f>IF(H34="", "", IF(ISNUMBER(_xlfn.XMATCH(H34, 'Viks State Rollup Sheet'!G:G)), "Found in Rollup", "MISSING in Rollup"))</f>
        <v>Found in Rollup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ht="15.75" customHeight="1">
      <c r="A35" s="22" t="s">
        <v>340</v>
      </c>
      <c r="B35" s="22" t="s">
        <v>342</v>
      </c>
      <c r="C35" s="22" t="s">
        <v>342</v>
      </c>
      <c r="D35" s="12" t="str">
        <f>IFERROR(__xludf.DUMMYFUNCTION("REGEXEXTRACT(E35, ""^(?:https?:\/\/)?(?:www\.)?([^\/]+)"")"),"ag.utah.gov")</f>
        <v>ag.utah.gov</v>
      </c>
      <c r="E35" s="23" t="s">
        <v>343</v>
      </c>
      <c r="F35" s="22" t="s">
        <v>278</v>
      </c>
      <c r="G35" s="2" t="s">
        <v>52</v>
      </c>
      <c r="H35" s="2" t="s">
        <v>346</v>
      </c>
      <c r="I35" s="2" t="s">
        <v>41</v>
      </c>
      <c r="J35" s="2" t="s">
        <v>347</v>
      </c>
      <c r="K35" s="9" t="str">
        <f>IF(H35="", "", IF(ISNUMBER(_xlfn.XMATCH(H35, 'Viks State Rollup Sheet'!G:G)), "Found in Rollup", "MISSING in Rollup"))</f>
        <v>Found in Rollup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ht="15.75" customHeight="1">
      <c r="A36" s="2" t="s">
        <v>350</v>
      </c>
      <c r="B36" s="2" t="s">
        <v>351</v>
      </c>
      <c r="C36" s="2" t="s">
        <v>352</v>
      </c>
      <c r="D36" s="12" t="str">
        <f>IFERROR(__xludf.DUMMYFUNCTION("REGEXEXTRACT(E36, ""^(?:https?:\/\/)?(?:www\.)?([^\/]+)"")"),"ag.utah.gov")</f>
        <v>ag.utah.gov</v>
      </c>
      <c r="E36" s="2" t="s">
        <v>351</v>
      </c>
      <c r="F36" s="2" t="s">
        <v>38</v>
      </c>
      <c r="G36" s="2" t="s">
        <v>52</v>
      </c>
      <c r="H36" s="2" t="s">
        <v>346</v>
      </c>
      <c r="I36" s="2" t="s">
        <v>41</v>
      </c>
      <c r="J36" s="2" t="s">
        <v>347</v>
      </c>
      <c r="K36" s="9" t="str">
        <f>IF(H36="", "", IF(ISNUMBER(_xlfn.XMATCH(H36, 'Viks State Rollup Sheet'!G:G)), "Found in Rollup", "MISSING in Rollup"))</f>
        <v>Found in Rollup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ht="15.75" customHeight="1">
      <c r="A37" s="2" t="s">
        <v>350</v>
      </c>
      <c r="B37" s="2" t="s">
        <v>362</v>
      </c>
      <c r="C37" s="2" t="s">
        <v>363</v>
      </c>
      <c r="D37" s="12" t="str">
        <f>IFERROR(__xludf.DUMMYFUNCTION("REGEXEXTRACT(E37, ""^(?:https?:\/\/)?(?:www\.)?([^\/]+)"")"),"urrt.utah.gov")</f>
        <v>urrt.utah.gov</v>
      </c>
      <c r="E37" s="2" t="s">
        <v>365</v>
      </c>
      <c r="F37" s="2" t="s">
        <v>38</v>
      </c>
      <c r="G37" s="2" t="s">
        <v>52</v>
      </c>
      <c r="H37" s="2" t="s">
        <v>366</v>
      </c>
      <c r="I37" s="2" t="s">
        <v>41</v>
      </c>
      <c r="J37" s="2" t="s">
        <v>368</v>
      </c>
      <c r="K37" s="9" t="str">
        <f>IF(H37="", "", IF(ISNUMBER(_xlfn.XMATCH(H37, 'Viks State Rollup Sheet'!G:G)), "Found in Rollup", "MISSING in Rollup"))</f>
        <v>Found in Rollup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ht="15.75" customHeight="1">
      <c r="A38" s="2" t="s">
        <v>340</v>
      </c>
      <c r="B38" s="2" t="s">
        <v>377</v>
      </c>
      <c r="C38" s="2" t="s">
        <v>379</v>
      </c>
      <c r="D38" s="12" t="str">
        <f>IFERROR(__xludf.DUMMYFUNCTION("REGEXEXTRACT(E38, ""^(?:https?:\/\/)?(?:www\.)?([^\/]+)"")"),"daqpermitting.utah.gov")</f>
        <v>daqpermitting.utah.gov</v>
      </c>
      <c r="E38" s="2" t="s">
        <v>226</v>
      </c>
      <c r="F38" s="2" t="s">
        <v>38</v>
      </c>
      <c r="G38" s="2" t="s">
        <v>387</v>
      </c>
      <c r="H38" s="2" t="s">
        <v>237</v>
      </c>
      <c r="I38" s="2" t="s">
        <v>41</v>
      </c>
      <c r="J38" s="2" t="s">
        <v>224</v>
      </c>
      <c r="K38" s="9" t="str">
        <f>IF(H38="", "", IF(ISNUMBER(_xlfn.XMATCH(H38, 'Viks State Rollup Sheet'!G:G)), "Found in Rollup", "MISSING in Rollup"))</f>
        <v>Found in Rollup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ht="15.75" customHeight="1">
      <c r="A39" s="2" t="s">
        <v>340</v>
      </c>
      <c r="B39" s="2" t="s">
        <v>399</v>
      </c>
      <c r="C39" s="2" t="s">
        <v>400</v>
      </c>
      <c r="D39" s="12" t="str">
        <f>IFERROR(__xludf.DUMMYFUNCTION("REGEXEXTRACT(E39, ""^(?:https?:\/\/)?(?:www\.)?([^\/]+)"")"),"deq.utah.gov")</f>
        <v>deq.utah.gov</v>
      </c>
      <c r="E39" s="2" t="s">
        <v>158</v>
      </c>
      <c r="F39" s="2" t="s">
        <v>38</v>
      </c>
      <c r="G39" s="2" t="s">
        <v>405</v>
      </c>
      <c r="H39" s="2" t="s">
        <v>168</v>
      </c>
      <c r="I39" s="2" t="s">
        <v>41</v>
      </c>
      <c r="J39" s="2" t="s">
        <v>156</v>
      </c>
      <c r="K39" s="9" t="str">
        <f>IF(H39="", "", IF(ISNUMBER(_xlfn.XMATCH(H39, 'Viks State Rollup Sheet'!G:G)), "Found in Rollup", "MISSING in Rollup"))</f>
        <v>Found in Rollup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ht="15.75" customHeight="1">
      <c r="A40" s="22" t="s">
        <v>340</v>
      </c>
      <c r="B40" s="22" t="s">
        <v>411</v>
      </c>
      <c r="C40" s="22" t="s">
        <v>411</v>
      </c>
      <c r="D40" s="12" t="str">
        <f>IFERROR(__xludf.DUMMYFUNCTION("REGEXEXTRACT(E40, ""^(?:https?:\/\/)?(?:www\.)?([^\/]+)"")"),"deq.utah.gov")</f>
        <v>deq.utah.gov</v>
      </c>
      <c r="E40" s="23" t="s">
        <v>413</v>
      </c>
      <c r="F40" s="22" t="s">
        <v>278</v>
      </c>
      <c r="G40" s="2" t="s">
        <v>405</v>
      </c>
      <c r="H40" s="2" t="s">
        <v>168</v>
      </c>
      <c r="I40" s="2" t="s">
        <v>41</v>
      </c>
      <c r="J40" s="2" t="s">
        <v>156</v>
      </c>
      <c r="K40" s="9" t="str">
        <f>IF(H40="", "", IF(ISNUMBER(_xlfn.XMATCH(H40, 'Viks State Rollup Sheet'!G:G)), "Found in Rollup", "MISSING in Rollup"))</f>
        <v>Found in Rollup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ht="15.75" customHeight="1">
      <c r="A41" s="22" t="s">
        <v>340</v>
      </c>
      <c r="B41" s="22" t="s">
        <v>416</v>
      </c>
      <c r="C41" s="22" t="s">
        <v>416</v>
      </c>
      <c r="D41" s="12" t="str">
        <f>IFERROR(__xludf.DUMMYFUNCTION("REGEXEXTRACT(E41, ""^(?:https?:\/\/)?(?:www\.)?([^\/]+)"")"),"deq.utah.gov")</f>
        <v>deq.utah.gov</v>
      </c>
      <c r="E41" s="23" t="s">
        <v>418</v>
      </c>
      <c r="F41" s="22" t="s">
        <v>278</v>
      </c>
      <c r="G41" s="2" t="s">
        <v>405</v>
      </c>
      <c r="H41" s="2" t="s">
        <v>168</v>
      </c>
      <c r="I41" s="2" t="s">
        <v>41</v>
      </c>
      <c r="J41" s="2" t="s">
        <v>156</v>
      </c>
      <c r="K41" s="9" t="str">
        <f>IF(H41="", "", IF(ISNUMBER(_xlfn.XMATCH(H41, 'Viks State Rollup Sheet'!G:G)), "Found in Rollup", "MISSING in Rollup"))</f>
        <v>Found in Rollup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ht="15.75" customHeight="1">
      <c r="A42" s="22" t="s">
        <v>340</v>
      </c>
      <c r="B42" s="22" t="s">
        <v>423</v>
      </c>
      <c r="C42" s="22" t="s">
        <v>423</v>
      </c>
      <c r="D42" s="12" t="str">
        <f>IFERROR(__xludf.DUMMYFUNCTION("REGEXEXTRACT(E42, ""^(?:https?:\/\/)?(?:www\.)?([^\/]+)"")"),"deq.utah.gov")</f>
        <v>deq.utah.gov</v>
      </c>
      <c r="E42" s="23" t="s">
        <v>424</v>
      </c>
      <c r="F42" s="22" t="s">
        <v>278</v>
      </c>
      <c r="G42" s="2" t="s">
        <v>405</v>
      </c>
      <c r="H42" s="2" t="s">
        <v>168</v>
      </c>
      <c r="I42" s="2" t="s">
        <v>41</v>
      </c>
      <c r="J42" s="2" t="s">
        <v>156</v>
      </c>
      <c r="K42" s="9" t="str">
        <f>IF(H42="", "", IF(ISNUMBER(_xlfn.XMATCH(H42, 'Viks State Rollup Sheet'!G:G)), "Found in Rollup", "MISSING in Rollup"))</f>
        <v>Found in Rollup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ht="15.75" customHeight="1">
      <c r="A43" s="22" t="s">
        <v>340</v>
      </c>
      <c r="B43" s="22" t="s">
        <v>426</v>
      </c>
      <c r="C43" s="22" t="s">
        <v>426</v>
      </c>
      <c r="D43" s="12" t="str">
        <f>IFERROR(__xludf.DUMMYFUNCTION("REGEXEXTRACT(E43, ""^(?:https?:\/\/)?(?:www\.)?([^\/]+)"")"),"deq.utah.gov")</f>
        <v>deq.utah.gov</v>
      </c>
      <c r="E43" s="23" t="s">
        <v>427</v>
      </c>
      <c r="F43" s="22" t="s">
        <v>278</v>
      </c>
      <c r="G43" s="2" t="s">
        <v>405</v>
      </c>
      <c r="H43" s="2" t="s">
        <v>168</v>
      </c>
      <c r="I43" s="2" t="s">
        <v>41</v>
      </c>
      <c r="J43" s="2" t="s">
        <v>156</v>
      </c>
      <c r="K43" s="9" t="str">
        <f>IF(H43="", "", IF(ISNUMBER(_xlfn.XMATCH(H43, 'Viks State Rollup Sheet'!G:G)), "Found in Rollup", "MISSING in Rollup"))</f>
        <v>Found in Rollup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ht="15.75" customHeight="1">
      <c r="A44" s="22" t="s">
        <v>340</v>
      </c>
      <c r="B44" s="22" t="s">
        <v>431</v>
      </c>
      <c r="C44" s="22" t="s">
        <v>431</v>
      </c>
      <c r="D44" s="12" t="str">
        <f>IFERROR(__xludf.DUMMYFUNCTION("REGEXEXTRACT(E44, ""^(?:https?:\/\/)?(?:www\.)?([^\/]+)"")"),"deq.utah.gov")</f>
        <v>deq.utah.gov</v>
      </c>
      <c r="E44" s="23" t="s">
        <v>432</v>
      </c>
      <c r="F44" s="22" t="s">
        <v>278</v>
      </c>
      <c r="G44" s="2" t="s">
        <v>405</v>
      </c>
      <c r="H44" s="2" t="s">
        <v>168</v>
      </c>
      <c r="I44" s="2" t="s">
        <v>41</v>
      </c>
      <c r="J44" s="2" t="s">
        <v>156</v>
      </c>
      <c r="K44" s="9" t="str">
        <f>IF(H44="", "", IF(ISNUMBER(_xlfn.XMATCH(H44, 'Viks State Rollup Sheet'!G:G)), "Found in Rollup", "MISSING in Rollup"))</f>
        <v>Found in Rollup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ht="15.75" customHeight="1">
      <c r="A45" s="22" t="s">
        <v>340</v>
      </c>
      <c r="B45" s="22" t="s">
        <v>434</v>
      </c>
      <c r="C45" s="22" t="s">
        <v>434</v>
      </c>
      <c r="D45" s="12" t="str">
        <f>IFERROR(__xludf.DUMMYFUNCTION("REGEXEXTRACT(E45, ""^(?:https?:\/\/)?(?:www\.)?([^\/]+)"")"),"deq.utah.gov")</f>
        <v>deq.utah.gov</v>
      </c>
      <c r="E45" s="23" t="s">
        <v>435</v>
      </c>
      <c r="F45" s="22" t="s">
        <v>278</v>
      </c>
      <c r="G45" s="2" t="s">
        <v>405</v>
      </c>
      <c r="H45" s="2" t="s">
        <v>168</v>
      </c>
      <c r="I45" s="2" t="s">
        <v>41</v>
      </c>
      <c r="J45" s="2" t="s">
        <v>156</v>
      </c>
      <c r="K45" s="9" t="str">
        <f>IF(H45="", "", IF(ISNUMBER(_xlfn.XMATCH(H45, 'Viks State Rollup Sheet'!G:G)), "Found in Rollup", "MISSING in Rollup"))</f>
        <v>Found in Rollup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ht="15.75" customHeight="1">
      <c r="A46" s="22" t="s">
        <v>340</v>
      </c>
      <c r="B46" s="22" t="s">
        <v>438</v>
      </c>
      <c r="C46" s="22" t="s">
        <v>438</v>
      </c>
      <c r="D46" s="12" t="str">
        <f>IFERROR(__xludf.DUMMYFUNCTION("REGEXEXTRACT(E46, ""^(?:https?:\/\/)?(?:www\.)?([^\/]+)"")"),"deq.utah.gov")</f>
        <v>deq.utah.gov</v>
      </c>
      <c r="E46" s="23" t="s">
        <v>435</v>
      </c>
      <c r="F46" s="22" t="s">
        <v>278</v>
      </c>
      <c r="G46" s="2" t="s">
        <v>405</v>
      </c>
      <c r="H46" s="2" t="s">
        <v>168</v>
      </c>
      <c r="I46" s="2" t="s">
        <v>41</v>
      </c>
      <c r="J46" s="2" t="s">
        <v>156</v>
      </c>
      <c r="K46" s="9" t="str">
        <f>IF(H46="", "", IF(ISNUMBER(_xlfn.XMATCH(H46, 'Viks State Rollup Sheet'!G:G)), "Found in Rollup", "MISSING in Rollup"))</f>
        <v>Found in Rollup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ht="15.75" customHeight="1">
      <c r="A47" s="22" t="s">
        <v>340</v>
      </c>
      <c r="B47" s="22" t="s">
        <v>441</v>
      </c>
      <c r="C47" s="22" t="s">
        <v>441</v>
      </c>
      <c r="D47" s="12" t="str">
        <f>IFERROR(__xludf.DUMMYFUNCTION("REGEXEXTRACT(E47, ""^(?:https?:\/\/)?(?:www\.)?([^\/]+)"")"),"deq.utah.gov")</f>
        <v>deq.utah.gov</v>
      </c>
      <c r="E47" s="23" t="s">
        <v>442</v>
      </c>
      <c r="F47" s="22" t="s">
        <v>278</v>
      </c>
      <c r="G47" s="2" t="s">
        <v>405</v>
      </c>
      <c r="H47" s="2" t="s">
        <v>168</v>
      </c>
      <c r="I47" s="2" t="s">
        <v>41</v>
      </c>
      <c r="J47" s="2" t="s">
        <v>156</v>
      </c>
      <c r="K47" s="9" t="str">
        <f>IF(H47="", "", IF(ISNUMBER(_xlfn.XMATCH(H47, 'Viks State Rollup Sheet'!G:G)), "Found in Rollup", "MISSING in Rollup"))</f>
        <v>Found in Rollup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ht="15.75" customHeight="1">
      <c r="A48" s="22" t="s">
        <v>340</v>
      </c>
      <c r="B48" s="22" t="s">
        <v>443</v>
      </c>
      <c r="C48" s="22" t="s">
        <v>443</v>
      </c>
      <c r="D48" s="12" t="str">
        <f>IFERROR(__xludf.DUMMYFUNCTION("REGEXEXTRACT(E48, ""^(?:https?:\/\/)?(?:www\.)?([^\/]+)"")"),"deq.utah.gov")</f>
        <v>deq.utah.gov</v>
      </c>
      <c r="E48" s="23" t="s">
        <v>444</v>
      </c>
      <c r="F48" s="22" t="s">
        <v>278</v>
      </c>
      <c r="G48" s="2" t="s">
        <v>405</v>
      </c>
      <c r="H48" s="2" t="s">
        <v>168</v>
      </c>
      <c r="I48" s="2" t="s">
        <v>41</v>
      </c>
      <c r="J48" s="2" t="s">
        <v>156</v>
      </c>
      <c r="K48" s="9" t="str">
        <f>IF(H48="", "", IF(ISNUMBER(_xlfn.XMATCH(H48, 'Viks State Rollup Sheet'!G:G)), "Found in Rollup", "MISSING in Rollup"))</f>
        <v>Found in Rollup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ht="15.75" customHeight="1">
      <c r="A49" s="22" t="s">
        <v>340</v>
      </c>
      <c r="B49" s="22" t="s">
        <v>448</v>
      </c>
      <c r="C49" s="22" t="s">
        <v>448</v>
      </c>
      <c r="D49" s="12" t="str">
        <f>IFERROR(__xludf.DUMMYFUNCTION("REGEXEXTRACT(E49, ""^(?:https?:\/\/)?(?:www\.)?([^\/]+)"")"),"deq.utah.gov")</f>
        <v>deq.utah.gov</v>
      </c>
      <c r="E49" s="23" t="s">
        <v>444</v>
      </c>
      <c r="F49" s="22" t="s">
        <v>278</v>
      </c>
      <c r="G49" s="2" t="s">
        <v>405</v>
      </c>
      <c r="H49" s="2" t="s">
        <v>168</v>
      </c>
      <c r="I49" s="2" t="s">
        <v>41</v>
      </c>
      <c r="J49" s="2" t="s">
        <v>156</v>
      </c>
      <c r="K49" s="9" t="str">
        <f>IF(H49="", "", IF(ISNUMBER(_xlfn.XMATCH(H49, 'Viks State Rollup Sheet'!G:G)), "Found in Rollup", "MISSING in Rollup"))</f>
        <v>Found in Rollup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ht="15.75" customHeight="1">
      <c r="A50" s="22" t="s">
        <v>340</v>
      </c>
      <c r="B50" s="22" t="s">
        <v>449</v>
      </c>
      <c r="C50" s="22" t="s">
        <v>449</v>
      </c>
      <c r="D50" s="12" t="str">
        <f>IFERROR(__xludf.DUMMYFUNCTION("REGEXEXTRACT(E50, ""^(?:https?:\/\/)?(?:www\.)?([^\/]+)"")"),"deq.utah.gov")</f>
        <v>deq.utah.gov</v>
      </c>
      <c r="E50" s="23" t="s">
        <v>450</v>
      </c>
      <c r="F50" s="22" t="s">
        <v>278</v>
      </c>
      <c r="G50" s="2" t="s">
        <v>405</v>
      </c>
      <c r="H50" s="2" t="s">
        <v>168</v>
      </c>
      <c r="I50" s="2" t="s">
        <v>41</v>
      </c>
      <c r="J50" s="2" t="s">
        <v>156</v>
      </c>
      <c r="K50" s="9" t="str">
        <f>IF(H50="", "", IF(ISNUMBER(_xlfn.XMATCH(H50, 'Viks State Rollup Sheet'!G:G)), "Found in Rollup", "MISSING in Rollup"))</f>
        <v>Found in Rollup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ht="15.75" customHeight="1">
      <c r="A51" s="22" t="s">
        <v>340</v>
      </c>
      <c r="B51" s="22" t="s">
        <v>452</v>
      </c>
      <c r="C51" s="22" t="s">
        <v>452</v>
      </c>
      <c r="D51" s="12" t="str">
        <f>IFERROR(__xludf.DUMMYFUNCTION("REGEXEXTRACT(E51, ""^(?:https?:\/\/)?(?:www\.)?([^\/]+)"")"),"deq.utah.gov")</f>
        <v>deq.utah.gov</v>
      </c>
      <c r="E51" s="23" t="s">
        <v>453</v>
      </c>
      <c r="F51" s="22" t="s">
        <v>278</v>
      </c>
      <c r="G51" s="2" t="s">
        <v>405</v>
      </c>
      <c r="H51" s="2" t="s">
        <v>168</v>
      </c>
      <c r="I51" s="2" t="s">
        <v>41</v>
      </c>
      <c r="J51" s="2" t="s">
        <v>156</v>
      </c>
      <c r="K51" s="9" t="str">
        <f>IF(H51="", "", IF(ISNUMBER(_xlfn.XMATCH(H51, 'Viks State Rollup Sheet'!G:G)), "Found in Rollup", "MISSING in Rollup"))</f>
        <v>Found in Rollup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ht="15.75" customHeight="1">
      <c r="A52" s="22" t="s">
        <v>340</v>
      </c>
      <c r="B52" s="22" t="s">
        <v>455</v>
      </c>
      <c r="C52" s="22" t="s">
        <v>455</v>
      </c>
      <c r="D52" s="12" t="str">
        <f>IFERROR(__xludf.DUMMYFUNCTION("REGEXEXTRACT(E52, ""^(?:https?:\/\/)?(?:www\.)?([^\/]+)"")"),"deq.utah.gov")</f>
        <v>deq.utah.gov</v>
      </c>
      <c r="E52" s="23" t="s">
        <v>456</v>
      </c>
      <c r="F52" s="22" t="s">
        <v>278</v>
      </c>
      <c r="G52" s="2" t="s">
        <v>405</v>
      </c>
      <c r="H52" s="2" t="s">
        <v>168</v>
      </c>
      <c r="I52" s="2" t="s">
        <v>41</v>
      </c>
      <c r="J52" s="2" t="s">
        <v>156</v>
      </c>
      <c r="K52" s="9" t="str">
        <f>IF(H52="", "", IF(ISNUMBER(_xlfn.XMATCH(H52, 'Viks State Rollup Sheet'!G:G)), "Found in Rollup", "MISSING in Rollup"))</f>
        <v>Found in Rollup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ht="15.75" customHeight="1">
      <c r="A53" s="22" t="s">
        <v>340</v>
      </c>
      <c r="B53" s="22" t="s">
        <v>457</v>
      </c>
      <c r="C53" s="22" t="s">
        <v>457</v>
      </c>
      <c r="D53" s="12" t="str">
        <f>IFERROR(__xludf.DUMMYFUNCTION("REGEXEXTRACT(E53, ""^(?:https?:\/\/)?(?:www\.)?([^\/]+)"")"),"deq.utah.gov")</f>
        <v>deq.utah.gov</v>
      </c>
      <c r="E53" s="23" t="s">
        <v>458</v>
      </c>
      <c r="F53" s="22" t="s">
        <v>278</v>
      </c>
      <c r="G53" s="2" t="s">
        <v>405</v>
      </c>
      <c r="H53" s="2" t="s">
        <v>168</v>
      </c>
      <c r="I53" s="2" t="s">
        <v>41</v>
      </c>
      <c r="J53" s="2" t="s">
        <v>156</v>
      </c>
      <c r="K53" s="9" t="str">
        <f>IF(H53="", "", IF(ISNUMBER(_xlfn.XMATCH(H53, 'Viks State Rollup Sheet'!G:G)), "Found in Rollup", "MISSING in Rollup"))</f>
        <v>Found in Rollup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ht="15.75" customHeight="1">
      <c r="A54" s="22" t="s">
        <v>340</v>
      </c>
      <c r="B54" s="22" t="s">
        <v>460</v>
      </c>
      <c r="C54" s="22" t="s">
        <v>460</v>
      </c>
      <c r="D54" s="12" t="str">
        <f>IFERROR(__xludf.DUMMYFUNCTION("REGEXEXTRACT(E54, ""^(?:https?:\/\/)?(?:www\.)?([^\/]+)"")"),"deq.utah.gov")</f>
        <v>deq.utah.gov</v>
      </c>
      <c r="E54" s="23" t="s">
        <v>461</v>
      </c>
      <c r="F54" s="22" t="s">
        <v>278</v>
      </c>
      <c r="G54" s="2" t="s">
        <v>405</v>
      </c>
      <c r="H54" s="2" t="s">
        <v>168</v>
      </c>
      <c r="I54" s="2" t="s">
        <v>41</v>
      </c>
      <c r="J54" s="2" t="s">
        <v>156</v>
      </c>
      <c r="K54" s="9" t="str">
        <f>IF(H54="", "", IF(ISNUMBER(_xlfn.XMATCH(H54, 'Viks State Rollup Sheet'!G:G)), "Found in Rollup", "MISSING in Rollup"))</f>
        <v>Found in Rollup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ht="15.75" customHeight="1">
      <c r="A55" s="22" t="s">
        <v>340</v>
      </c>
      <c r="B55" s="22" t="s">
        <v>463</v>
      </c>
      <c r="C55" s="22" t="s">
        <v>463</v>
      </c>
      <c r="D55" s="12" t="str">
        <f>IFERROR(__xludf.DUMMYFUNCTION("REGEXEXTRACT(E55, ""^(?:https?:\/\/)?(?:www\.)?([^\/]+)"")"),"deq.utah.gov")</f>
        <v>deq.utah.gov</v>
      </c>
      <c r="E55" s="23" t="s">
        <v>465</v>
      </c>
      <c r="F55" s="22" t="s">
        <v>278</v>
      </c>
      <c r="G55" s="2" t="s">
        <v>405</v>
      </c>
      <c r="H55" s="2" t="s">
        <v>168</v>
      </c>
      <c r="I55" s="2" t="s">
        <v>41</v>
      </c>
      <c r="J55" s="2" t="s">
        <v>156</v>
      </c>
      <c r="K55" s="9" t="str">
        <f>IF(H55="", "", IF(ISNUMBER(_xlfn.XMATCH(H55, 'Viks State Rollup Sheet'!G:G)), "Found in Rollup", "MISSING in Rollup"))</f>
        <v>Found in Rollup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ht="15.75" customHeight="1">
      <c r="A56" s="22" t="s">
        <v>340</v>
      </c>
      <c r="B56" s="22" t="s">
        <v>466</v>
      </c>
      <c r="C56" s="22" t="s">
        <v>466</v>
      </c>
      <c r="D56" s="12" t="str">
        <f>IFERROR(__xludf.DUMMYFUNCTION("REGEXEXTRACT(E56, ""^(?:https?:\/\/)?(?:www\.)?([^\/]+)"")"),"deq.utah.gov")</f>
        <v>deq.utah.gov</v>
      </c>
      <c r="E56" s="23" t="s">
        <v>467</v>
      </c>
      <c r="F56" s="22" t="s">
        <v>278</v>
      </c>
      <c r="G56" s="2" t="s">
        <v>405</v>
      </c>
      <c r="H56" s="2" t="s">
        <v>168</v>
      </c>
      <c r="I56" s="2" t="s">
        <v>41</v>
      </c>
      <c r="J56" s="2" t="s">
        <v>156</v>
      </c>
      <c r="K56" s="9" t="str">
        <f>IF(H56="", "", IF(ISNUMBER(_xlfn.XMATCH(H56, 'Viks State Rollup Sheet'!G:G)), "Found in Rollup", "MISSING in Rollup"))</f>
        <v>Found in Rollup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ht="15.75" customHeight="1">
      <c r="A57" s="22" t="s">
        <v>340</v>
      </c>
      <c r="B57" s="22" t="s">
        <v>471</v>
      </c>
      <c r="C57" s="22" t="s">
        <v>471</v>
      </c>
      <c r="D57" s="12" t="str">
        <f>IFERROR(__xludf.DUMMYFUNCTION("REGEXEXTRACT(E57, ""^(?:https?:\/\/)?(?:www\.)?([^\/]+)"")"),"deq.utah.gov")</f>
        <v>deq.utah.gov</v>
      </c>
      <c r="E57" s="23" t="s">
        <v>472</v>
      </c>
      <c r="F57" s="22" t="s">
        <v>278</v>
      </c>
      <c r="G57" s="2" t="s">
        <v>405</v>
      </c>
      <c r="H57" s="2" t="s">
        <v>168</v>
      </c>
      <c r="I57" s="2" t="s">
        <v>41</v>
      </c>
      <c r="J57" s="2" t="s">
        <v>156</v>
      </c>
      <c r="K57" s="9" t="str">
        <f>IF(H57="", "", IF(ISNUMBER(_xlfn.XMATCH(H57, 'Viks State Rollup Sheet'!G:G)), "Found in Rollup", "MISSING in Rollup"))</f>
        <v>Found in Rollup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ht="15.75" customHeight="1">
      <c r="A58" s="2" t="s">
        <v>539</v>
      </c>
      <c r="B58" s="2" t="s">
        <v>540</v>
      </c>
      <c r="C58" s="2" t="s">
        <v>541</v>
      </c>
      <c r="D58" s="12" t="str">
        <f>IFERROR(__xludf.DUMMYFUNCTION("REGEXEXTRACT(E58, ""^(?:https?:\/\/)?(?:www\.)?([^\/]+)"")"),"dfi.utah.gov")</f>
        <v>dfi.utah.gov</v>
      </c>
      <c r="E58" s="2" t="s">
        <v>540</v>
      </c>
      <c r="F58" s="2" t="s">
        <v>38</v>
      </c>
      <c r="G58" s="2" t="s">
        <v>52</v>
      </c>
      <c r="H58" s="2" t="s">
        <v>543</v>
      </c>
      <c r="I58" s="2" t="s">
        <v>41</v>
      </c>
      <c r="J58" s="2" t="s">
        <v>545</v>
      </c>
      <c r="K58" s="9" t="str">
        <f>IF(H58="", "", IF(ISNUMBER(_xlfn.XMATCH(H58, 'Viks State Rollup Sheet'!G:G)), "Found in Rollup", "MISSING in Rollup"))</f>
        <v>Found in Rollup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ht="15.75" customHeight="1">
      <c r="A59" s="2" t="s">
        <v>547</v>
      </c>
      <c r="B59" s="2" t="s">
        <v>555</v>
      </c>
      <c r="C59" s="2" t="s">
        <v>556</v>
      </c>
      <c r="D59" s="12" t="str">
        <f>IFERROR(__xludf.DUMMYFUNCTION("REGEXEXTRACT(E59, ""^(?:https?:\/\/)?(?:www\.)?([^\/]+)"")"),"archives.utah.gov")</f>
        <v>archives.utah.gov</v>
      </c>
      <c r="E59" s="2" t="s">
        <v>557</v>
      </c>
      <c r="F59" s="2" t="s">
        <v>38</v>
      </c>
      <c r="G59" s="2" t="s">
        <v>558</v>
      </c>
      <c r="H59" s="2" t="s">
        <v>559</v>
      </c>
      <c r="I59" s="2" t="s">
        <v>41</v>
      </c>
      <c r="J59" s="2" t="s">
        <v>560</v>
      </c>
      <c r="K59" s="9" t="str">
        <f>IF(H59="", "", IF(ISNUMBER(_xlfn.XMATCH(H59, 'Viks State Rollup Sheet'!G:G)), "Found in Rollup", "MISSING in Rollup"))</f>
        <v>MISSING in Rollup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ht="15.75" customHeight="1">
      <c r="A60" s="2" t="s">
        <v>547</v>
      </c>
      <c r="B60" s="2" t="s">
        <v>566</v>
      </c>
      <c r="C60" s="2" t="s">
        <v>567</v>
      </c>
      <c r="D60" s="12" t="str">
        <f>IFERROR(__xludf.DUMMYFUNCTION("REGEXEXTRACT(E60, ""^(?:https?:\/\/)?(?:www\.)?([^\/]+)"")"),"dfcm.utah.gov")</f>
        <v>dfcm.utah.gov</v>
      </c>
      <c r="E60" s="2" t="s">
        <v>568</v>
      </c>
      <c r="F60" s="2" t="s">
        <v>38</v>
      </c>
      <c r="G60" s="2" t="s">
        <v>569</v>
      </c>
      <c r="H60" s="2" t="s">
        <v>570</v>
      </c>
      <c r="I60" s="2" t="s">
        <v>41</v>
      </c>
      <c r="J60" s="2" t="s">
        <v>571</v>
      </c>
      <c r="K60" s="9" t="str">
        <f>IF(H60="", "", IF(ISNUMBER(_xlfn.XMATCH(H60, 'Viks State Rollup Sheet'!G:G)), "Found in Rollup", "MISSING in Rollup"))</f>
        <v>MISSING in Rollup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ht="15.75" customHeight="1">
      <c r="A61" s="2" t="s">
        <v>547</v>
      </c>
      <c r="B61" s="2" t="s">
        <v>574</v>
      </c>
      <c r="C61" s="2" t="s">
        <v>575</v>
      </c>
      <c r="D61" s="12" t="str">
        <f>IFERROR(__xludf.DUMMYFUNCTION("REGEXEXTRACT(E61, ""^(?:https?:\/\/)?(?:www\.)?([^\/]+)"")"),"fleet.utah.gov")</f>
        <v>fleet.utah.gov</v>
      </c>
      <c r="E61" s="2" t="s">
        <v>577</v>
      </c>
      <c r="F61" s="2" t="s">
        <v>38</v>
      </c>
      <c r="G61" s="2" t="s">
        <v>579</v>
      </c>
      <c r="H61" s="2" t="s">
        <v>580</v>
      </c>
      <c r="I61" s="2" t="s">
        <v>41</v>
      </c>
      <c r="J61" s="2" t="s">
        <v>581</v>
      </c>
      <c r="K61" s="9" t="str">
        <f>IF(H61="", "", IF(ISNUMBER(_xlfn.XMATCH(H61, 'Viks State Rollup Sheet'!G:G)), "Found in Rollup", "MISSING in Rollup"))</f>
        <v>MISSING in Rollup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ht="15.75" customHeight="1">
      <c r="A62" s="2" t="s">
        <v>547</v>
      </c>
      <c r="B62" s="2" t="s">
        <v>589</v>
      </c>
      <c r="C62" s="2" t="s">
        <v>590</v>
      </c>
      <c r="D62" s="12" t="str">
        <f>IFERROR(__xludf.DUMMYFUNCTION("REGEXEXTRACT(E62, ""^(?:https?:\/\/)?(?:www\.)?([^\/]+)"")"),"dhrm.utah.gov")</f>
        <v>dhrm.utah.gov</v>
      </c>
      <c r="E62" s="2" t="s">
        <v>591</v>
      </c>
      <c r="F62" s="2" t="s">
        <v>38</v>
      </c>
      <c r="G62" s="2" t="s">
        <v>592</v>
      </c>
      <c r="H62" s="2" t="s">
        <v>593</v>
      </c>
      <c r="I62" s="2" t="s">
        <v>41</v>
      </c>
      <c r="J62" s="2" t="s">
        <v>594</v>
      </c>
      <c r="K62" s="9" t="str">
        <f>IF(H62="", "", IF(ISNUMBER(_xlfn.XMATCH(H62, 'Viks State Rollup Sheet'!G:G)), "Found in Rollup", "MISSING in Rollup"))</f>
        <v>MISSING in Rollup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ht="15.75" customHeight="1">
      <c r="A63" s="2" t="s">
        <v>547</v>
      </c>
      <c r="B63" s="2" t="s">
        <v>614</v>
      </c>
      <c r="C63" s="2" t="s">
        <v>615</v>
      </c>
      <c r="D63" s="12" t="str">
        <f>IFERROR(__xludf.DUMMYFUNCTION("REGEXEXTRACT(E63, ""^(?:https?:\/\/)?(?:www\.)?([^\/]+)"")"),"jobdesc.utah.gov")</f>
        <v>jobdesc.utah.gov</v>
      </c>
      <c r="E63" s="14" t="s">
        <v>310</v>
      </c>
      <c r="F63" s="2" t="s">
        <v>38</v>
      </c>
      <c r="G63" s="2" t="s">
        <v>52</v>
      </c>
      <c r="H63" s="2" t="s">
        <v>318</v>
      </c>
      <c r="I63" s="2" t="s">
        <v>41</v>
      </c>
      <c r="J63" s="2" t="s">
        <v>308</v>
      </c>
      <c r="K63" s="9" t="str">
        <f>IF(H63="", "", IF(ISNUMBER(_xlfn.XMATCH(H63, 'Viks State Rollup Sheet'!G:G)), "Found in Rollup", "MISSING in Rollup"))</f>
        <v>Found in Rollup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ht="15.75" customHeight="1">
      <c r="A64" s="2" t="s">
        <v>547</v>
      </c>
      <c r="B64" s="2" t="s">
        <v>621</v>
      </c>
      <c r="C64" s="2" t="s">
        <v>622</v>
      </c>
      <c r="D64" s="12" t="str">
        <f>IFERROR(__xludf.DUMMYFUNCTION("REGEXEXTRACT(E64, ""^(?:https?:\/\/)?(?:www\.)?([^\/]+)"")"),"purchasing.utah.gov")</f>
        <v>purchasing.utah.gov</v>
      </c>
      <c r="E64" s="2" t="s">
        <v>623</v>
      </c>
      <c r="F64" s="2" t="s">
        <v>38</v>
      </c>
      <c r="G64" s="2" t="s">
        <v>624</v>
      </c>
      <c r="H64" s="2" t="s">
        <v>625</v>
      </c>
      <c r="I64" s="2" t="s">
        <v>41</v>
      </c>
      <c r="J64" s="2" t="s">
        <v>626</v>
      </c>
      <c r="K64" s="9" t="str">
        <f>IF(H64="", "", IF(ISNUMBER(_xlfn.XMATCH(H64, 'Viks State Rollup Sheet'!G:G)), "Found in Rollup", "MISSING in Rollup"))</f>
        <v>MISSING in Rollup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ht="15.75" customHeight="1">
      <c r="A65" s="2" t="s">
        <v>547</v>
      </c>
      <c r="B65" s="2" t="s">
        <v>630</v>
      </c>
      <c r="C65" s="2" t="s">
        <v>631</v>
      </c>
      <c r="D65" s="12" t="str">
        <f>IFERROR(__xludf.DUMMYFUNCTION("REGEXEXTRACT(E65, ""^(?:https?:\/\/)?(?:www\.)?([^\/]+)"")"),"risk.utah.gov")</f>
        <v>risk.utah.gov</v>
      </c>
      <c r="E65" s="2" t="s">
        <v>632</v>
      </c>
      <c r="F65" s="2" t="s">
        <v>38</v>
      </c>
      <c r="G65" s="2" t="s">
        <v>633</v>
      </c>
      <c r="H65" s="2" t="s">
        <v>634</v>
      </c>
      <c r="I65" s="2" t="s">
        <v>41</v>
      </c>
      <c r="J65" s="2" t="s">
        <v>635</v>
      </c>
      <c r="K65" s="9" t="str">
        <f>IF(H65="", "", IF(ISNUMBER(_xlfn.XMATCH(H65, 'Viks State Rollup Sheet'!G:G)), "Found in Rollup", "MISSING in Rollup"))</f>
        <v>MISSING in Rollup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ht="15.75" customHeight="1">
      <c r="A66" s="2" t="s">
        <v>547</v>
      </c>
      <c r="B66" s="2" t="s">
        <v>639</v>
      </c>
      <c r="C66" s="2" t="s">
        <v>640</v>
      </c>
      <c r="D66" s="12" t="str">
        <f>IFERROR(__xludf.DUMMYFUNCTION("REGEXEXTRACT(E66, ""^(?:https?:\/\/)?(?:www\.)?([^\/]+)"")"),"dts.utah.gov")</f>
        <v>dts.utah.gov</v>
      </c>
      <c r="E66" s="2" t="s">
        <v>643</v>
      </c>
      <c r="F66" s="2" t="s">
        <v>38</v>
      </c>
      <c r="G66" s="2" t="s">
        <v>644</v>
      </c>
      <c r="H66" s="2" t="s">
        <v>645</v>
      </c>
      <c r="I66" s="2" t="s">
        <v>41</v>
      </c>
      <c r="J66" s="2" t="s">
        <v>646</v>
      </c>
      <c r="K66" s="9" t="str">
        <f>IF(H66="", "", IF(ISNUMBER(_xlfn.XMATCH(H66, 'Viks State Rollup Sheet'!G:G)), "Found in Rollup", "MISSING in Rollup"))</f>
        <v>MISSING in Rollup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ht="15.75" customHeight="1">
      <c r="A67" s="2" t="s">
        <v>547</v>
      </c>
      <c r="B67" s="2" t="s">
        <v>647</v>
      </c>
      <c r="C67" s="2" t="s">
        <v>648</v>
      </c>
      <c r="D67" s="12" t="str">
        <f>IFERROR(__xludf.DUMMYFUNCTION("REGEXEXTRACT(E67, ""^(?:https?:\/\/)?(?:www\.)?([^\/]+)"")"),"finance.utah.gov")</f>
        <v>finance.utah.gov</v>
      </c>
      <c r="E67" s="2" t="s">
        <v>651</v>
      </c>
      <c r="F67" s="2" t="s">
        <v>38</v>
      </c>
      <c r="G67" s="2" t="s">
        <v>652</v>
      </c>
      <c r="H67" s="2" t="s">
        <v>653</v>
      </c>
      <c r="I67" s="2" t="s">
        <v>41</v>
      </c>
      <c r="J67" s="2" t="s">
        <v>654</v>
      </c>
      <c r="K67" s="9" t="str">
        <f>IF(H67="", "", IF(ISNUMBER(_xlfn.XMATCH(H67, 'Viks State Rollup Sheet'!G:G)), "Found in Rollup", "MISSING in Rollup"))</f>
        <v>MISSING in Rollup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ht="15.75" customHeight="1">
      <c r="A68" s="22" t="s">
        <v>547</v>
      </c>
      <c r="B68" s="22" t="s">
        <v>659</v>
      </c>
      <c r="C68" s="22" t="s">
        <v>659</v>
      </c>
      <c r="D68" s="12" t="str">
        <f>IFERROR(__xludf.DUMMYFUNCTION("REGEXEXTRACT(E68, ""^(?:https?:\/\/)?(?:www\.)?([^\/]+)"")"),"finance.utah.gov")</f>
        <v>finance.utah.gov</v>
      </c>
      <c r="E68" s="23" t="s">
        <v>660</v>
      </c>
      <c r="F68" s="22" t="s">
        <v>278</v>
      </c>
      <c r="G68" s="2" t="s">
        <v>652</v>
      </c>
      <c r="H68" s="2" t="s">
        <v>653</v>
      </c>
      <c r="I68" s="2" t="s">
        <v>41</v>
      </c>
      <c r="J68" s="2" t="s">
        <v>654</v>
      </c>
      <c r="K68" s="9" t="str">
        <f>IF(H68="", "", IF(ISNUMBER(_xlfn.XMATCH(H68, 'Viks State Rollup Sheet'!G:G)), "Found in Rollup", "MISSING in Rollup"))</f>
        <v>MISSING in Rollup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ht="15.75" customHeight="1">
      <c r="A69" s="2" t="s">
        <v>547</v>
      </c>
      <c r="B69" s="2" t="s">
        <v>673</v>
      </c>
      <c r="C69" s="2" t="s">
        <v>674</v>
      </c>
      <c r="D69" s="12" t="str">
        <f>IFERROR(__xludf.DUMMYFUNCTION("REGEXEXTRACT(E69, ""^(?:https?:\/\/)?(?:www\.)?([^\/]+)"")"),"govops.utah.gov")</f>
        <v>govops.utah.gov</v>
      </c>
      <c r="E69" s="2" t="s">
        <v>675</v>
      </c>
      <c r="F69" s="2" t="s">
        <v>38</v>
      </c>
      <c r="G69" s="2" t="s">
        <v>676</v>
      </c>
      <c r="H69" s="2" t="s">
        <v>677</v>
      </c>
      <c r="I69" s="2" t="s">
        <v>41</v>
      </c>
      <c r="J69" s="2" t="s">
        <v>678</v>
      </c>
      <c r="K69" s="9" t="str">
        <f>IF(H69="", "", IF(ISNUMBER(_xlfn.XMATCH(H69, 'Viks State Rollup Sheet'!G:G)), "Found in Rollup", "MISSING in Rollup"))</f>
        <v>MISSING in Rollup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ht="15.75" customHeight="1">
      <c r="A70" s="2" t="s">
        <v>547</v>
      </c>
      <c r="B70" s="2" t="s">
        <v>682</v>
      </c>
      <c r="C70" s="2" t="s">
        <v>683</v>
      </c>
      <c r="D70" s="12" t="str">
        <f>IFERROR(__xludf.DUMMYFUNCTION("REGEXEXTRACT(E70, ""^(?:https?:\/\/)?(?:www\.)?([^\/]+)"")"),"rules.utah.gov")</f>
        <v>rules.utah.gov</v>
      </c>
      <c r="E70" s="2" t="s">
        <v>684</v>
      </c>
      <c r="F70" s="2" t="s">
        <v>38</v>
      </c>
      <c r="G70" s="2" t="s">
        <v>685</v>
      </c>
      <c r="H70" s="2" t="s">
        <v>686</v>
      </c>
      <c r="I70" s="2" t="s">
        <v>41</v>
      </c>
      <c r="J70" s="2" t="s">
        <v>687</v>
      </c>
      <c r="K70" s="9" t="str">
        <f>IF(H70="", "", IF(ISNUMBER(_xlfn.XMATCH(H70, 'Viks State Rollup Sheet'!G:G)), "Found in Rollup", "MISSING in Rollup"))</f>
        <v>MISSING in Rollup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ht="15.75" customHeight="1">
      <c r="A71" s="2" t="s">
        <v>696</v>
      </c>
      <c r="B71" s="2" t="s">
        <v>697</v>
      </c>
      <c r="C71" s="2" t="s">
        <v>699</v>
      </c>
      <c r="D71" s="12" t="str">
        <f>IFERROR(__xludf.DUMMYFUNCTION("REGEXEXTRACT(E71, ""^(?:https?:\/\/)?(?:www\.)?([^\/]+)"")"),"daas.utah.gov")</f>
        <v>daas.utah.gov</v>
      </c>
      <c r="E71" s="2" t="s">
        <v>700</v>
      </c>
      <c r="F71" s="2" t="s">
        <v>38</v>
      </c>
      <c r="G71" s="2" t="s">
        <v>701</v>
      </c>
      <c r="H71" s="2" t="s">
        <v>702</v>
      </c>
      <c r="I71" s="2" t="s">
        <v>41</v>
      </c>
      <c r="J71" s="2" t="s">
        <v>703</v>
      </c>
      <c r="K71" s="9" t="str">
        <f>IF(H71="", "", IF(ISNUMBER(_xlfn.XMATCH(H71, 'Viks State Rollup Sheet'!G:G)), "Found in Rollup", "MISSING in Rollup"))</f>
        <v>Found in Rollup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ht="15.75" customHeight="1">
      <c r="A72" s="2" t="s">
        <v>696</v>
      </c>
      <c r="B72" s="2" t="s">
        <v>705</v>
      </c>
      <c r="C72" s="2" t="s">
        <v>706</v>
      </c>
      <c r="D72" s="12" t="str">
        <f>IFERROR(__xludf.DUMMYFUNCTION("REGEXEXTRACT(E72, ""^(?:https?:\/\/)?(?:www\.)?([^\/]+)"")"),"dcfs.utah.gov")</f>
        <v>dcfs.utah.gov</v>
      </c>
      <c r="E72" s="2" t="s">
        <v>708</v>
      </c>
      <c r="F72" s="2" t="s">
        <v>38</v>
      </c>
      <c r="G72" s="2" t="s">
        <v>709</v>
      </c>
      <c r="H72" s="2" t="s">
        <v>710</v>
      </c>
      <c r="I72" s="2" t="s">
        <v>41</v>
      </c>
      <c r="J72" s="2" t="s">
        <v>711</v>
      </c>
      <c r="K72" s="9" t="str">
        <f>IF(H72="", "", IF(ISNUMBER(_xlfn.XMATCH(H72, 'Viks State Rollup Sheet'!G:G)), "Found in Rollup", "MISSING in Rollup"))</f>
        <v>Found in Rollup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ht="15.75" customHeight="1">
      <c r="A73" s="2" t="s">
        <v>696</v>
      </c>
      <c r="B73" s="2" t="s">
        <v>714</v>
      </c>
      <c r="C73" s="2" t="s">
        <v>716</v>
      </c>
      <c r="D73" s="12" t="str">
        <f>IFERROR(__xludf.DUMMYFUNCTION("REGEXEXTRACT(E73, ""^(?:https?:\/\/)?(?:www\.)?([^\/]+)"")"),"familyhealth.utah.gov")</f>
        <v>familyhealth.utah.gov</v>
      </c>
      <c r="E73" s="2" t="s">
        <v>717</v>
      </c>
      <c r="F73" s="2" t="s">
        <v>38</v>
      </c>
      <c r="G73" s="2" t="s">
        <v>718</v>
      </c>
      <c r="H73" s="2" t="s">
        <v>719</v>
      </c>
      <c r="I73" s="2" t="s">
        <v>41</v>
      </c>
      <c r="J73" s="2" t="s">
        <v>720</v>
      </c>
      <c r="K73" s="9" t="str">
        <f>IF(H73="", "", IF(ISNUMBER(_xlfn.XMATCH(H73, 'Viks State Rollup Sheet'!G:G)), "Found in Rollup", "MISSING in Rollup"))</f>
        <v>Found in Rollup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ht="15.75" customHeight="1">
      <c r="A74" s="2" t="s">
        <v>696</v>
      </c>
      <c r="B74" s="2" t="s">
        <v>729</v>
      </c>
      <c r="C74" s="2" t="s">
        <v>731</v>
      </c>
      <c r="D74" s="12" t="str">
        <f>IFERROR(__xludf.DUMMYFUNCTION("REGEXEXTRACT(E74, ""^(?:https?:\/\/)?(?:www\.)?([^\/]+)"")"),"mihp.utah.gov")</f>
        <v>mihp.utah.gov</v>
      </c>
      <c r="E74" s="2" t="s">
        <v>735</v>
      </c>
      <c r="F74" s="2" t="s">
        <v>38</v>
      </c>
      <c r="G74" s="2" t="s">
        <v>736</v>
      </c>
      <c r="H74" s="2" t="s">
        <v>737</v>
      </c>
      <c r="I74" s="2" t="s">
        <v>41</v>
      </c>
      <c r="J74" s="2" t="s">
        <v>738</v>
      </c>
      <c r="K74" s="9" t="str">
        <f>IF(H74="", "", IF(ISNUMBER(_xlfn.XMATCH(H74, 'Viks State Rollup Sheet'!G:G)), "Found in Rollup", "MISSING in Rollup"))</f>
        <v>Found in Rollup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ht="15.75" customHeight="1">
      <c r="A75" s="2" t="s">
        <v>696</v>
      </c>
      <c r="B75" s="2" t="s">
        <v>744</v>
      </c>
      <c r="C75" s="2" t="s">
        <v>747</v>
      </c>
      <c r="D75" s="12" t="str">
        <f>IFERROR(__xludf.DUMMYFUNCTION("REGEXEXTRACT(E75, ""^(?:https?:\/\/)?(?:www\.)?([^\/]+)"")"),"catchtheanswers.utah.gov")</f>
        <v>catchtheanswers.utah.gov</v>
      </c>
      <c r="E75" s="2" t="s">
        <v>753</v>
      </c>
      <c r="F75" s="2" t="s">
        <v>38</v>
      </c>
      <c r="G75" s="2" t="s">
        <v>754</v>
      </c>
      <c r="H75" s="2" t="s">
        <v>755</v>
      </c>
      <c r="I75" s="2" t="s">
        <v>41</v>
      </c>
      <c r="J75" s="2" t="s">
        <v>756</v>
      </c>
      <c r="K75" s="9" t="str">
        <f>IF(H75="", "", IF(ISNUMBER(_xlfn.XMATCH(H75, 'Viks State Rollup Sheet'!G:G)), "Found in Rollup", "MISSING in Rollup"))</f>
        <v>Found in Rollup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ht="15.75" customHeight="1">
      <c r="A76" s="2" t="s">
        <v>696</v>
      </c>
      <c r="B76" s="2" t="s">
        <v>762</v>
      </c>
      <c r="C76" s="2" t="s">
        <v>763</v>
      </c>
      <c r="D76" s="12" t="str">
        <f>IFERROR(__xludf.DUMMYFUNCTION("REGEXEXTRACT(E76, ""^(?:https?:\/\/)?(?:www\.)?([^\/]+)"")"),"epi.utah.gov")</f>
        <v>epi.utah.gov</v>
      </c>
      <c r="E76" s="2" t="s">
        <v>765</v>
      </c>
      <c r="F76" s="2" t="s">
        <v>38</v>
      </c>
      <c r="G76" s="2" t="s">
        <v>767</v>
      </c>
      <c r="H76" s="2" t="s">
        <v>768</v>
      </c>
      <c r="I76" s="2" t="s">
        <v>41</v>
      </c>
      <c r="J76" s="2" t="s">
        <v>769</v>
      </c>
      <c r="K76" s="9" t="str">
        <f>IF(H76="", "", IF(ISNUMBER(_xlfn.XMATCH(H76, 'Viks State Rollup Sheet'!G:G)), "Found in Rollup", "MISSING in Rollup"))</f>
        <v>Found in Rollup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ht="15.75" customHeight="1">
      <c r="A77" s="2" t="s">
        <v>696</v>
      </c>
      <c r="B77" s="2" t="s">
        <v>771</v>
      </c>
      <c r="C77" s="2" t="s">
        <v>772</v>
      </c>
      <c r="D77" s="12" t="str">
        <f>IFERROR(__xludf.DUMMYFUNCTION("REGEXEXTRACT(E77, ""^(?:https?:\/\/)?(?:www\.)?([^\/]+)"")"),"heal.utah.gov")</f>
        <v>heal.utah.gov</v>
      </c>
      <c r="E77" s="2" t="s">
        <v>771</v>
      </c>
      <c r="F77" s="2" t="s">
        <v>38</v>
      </c>
      <c r="G77" s="2" t="s">
        <v>773</v>
      </c>
      <c r="H77" s="2" t="s">
        <v>774</v>
      </c>
      <c r="I77" s="2" t="s">
        <v>41</v>
      </c>
      <c r="J77" s="2" t="s">
        <v>775</v>
      </c>
      <c r="K77" s="9" t="str">
        <f>IF(H77="", "", IF(ISNUMBER(_xlfn.XMATCH(H77, 'Viks State Rollup Sheet'!G:G)), "Found in Rollup", "MISSING in Rollup"))</f>
        <v>Found in Rollup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ht="15.75" customHeight="1">
      <c r="A78" s="2" t="s">
        <v>696</v>
      </c>
      <c r="B78" s="2" t="s">
        <v>778</v>
      </c>
      <c r="C78" s="2" t="s">
        <v>779</v>
      </c>
      <c r="D78" s="12" t="str">
        <f>IFERROR(__xludf.DUMMYFUNCTION("REGEXEXTRACT(E78, ""^(?:https?:\/\/)?(?:www\.)?([^\/]+)"")"),"healthyaging.utah.gov")</f>
        <v>healthyaging.utah.gov</v>
      </c>
      <c r="E78" s="2" t="s">
        <v>780</v>
      </c>
      <c r="F78" s="2" t="s">
        <v>38</v>
      </c>
      <c r="G78" s="2" t="s">
        <v>782</v>
      </c>
      <c r="H78" s="2" t="s">
        <v>783</v>
      </c>
      <c r="I78" s="2" t="s">
        <v>41</v>
      </c>
      <c r="J78" s="2" t="s">
        <v>784</v>
      </c>
      <c r="K78" s="9" t="str">
        <f>IF(H78="", "", IF(ISNUMBER(_xlfn.XMATCH(H78, 'Viks State Rollup Sheet'!G:G)), "Found in Rollup", "MISSING in Rollup"))</f>
        <v>Found in Rollup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ht="15.75" customHeight="1">
      <c r="A79" s="2" t="s">
        <v>696</v>
      </c>
      <c r="B79" s="2" t="s">
        <v>790</v>
      </c>
      <c r="C79" s="2" t="s">
        <v>792</v>
      </c>
      <c r="D79" s="12" t="str">
        <f>IFERROR(__xludf.DUMMYFUNCTION("REGEXEXTRACT(E79, ""^(?:https?:\/\/)?(?:www\.)?([^\/]+)"")"),"hivandme.com")</f>
        <v>hivandme.com</v>
      </c>
      <c r="E79" s="2" t="s">
        <v>794</v>
      </c>
      <c r="F79" s="2" t="s">
        <v>38</v>
      </c>
      <c r="G79" s="2" t="s">
        <v>795</v>
      </c>
      <c r="H79" s="2" t="s">
        <v>796</v>
      </c>
      <c r="I79" s="2" t="s">
        <v>41</v>
      </c>
      <c r="J79" s="2" t="s">
        <v>797</v>
      </c>
      <c r="K79" s="9" t="str">
        <f>IF(H79="", "", IF(ISNUMBER(_xlfn.XMATCH(H79, 'Viks State Rollup Sheet'!G:G)), "Found in Rollup", "MISSING in Rollup"))</f>
        <v>MISSING in Rollup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ht="15.75" customHeight="1">
      <c r="A80" s="2" t="s">
        <v>696</v>
      </c>
      <c r="B80" s="2" t="s">
        <v>801</v>
      </c>
      <c r="C80" s="2" t="s">
        <v>802</v>
      </c>
      <c r="D80" s="12" t="str">
        <f>IFERROR(__xludf.DUMMYFUNCTION("REGEXEXTRACT(E80, ""^(?:https?:\/\/)?(?:www\.)?([^\/]+)"")"),"immunize.utah.gov")</f>
        <v>immunize.utah.gov</v>
      </c>
      <c r="E80" s="2" t="s">
        <v>804</v>
      </c>
      <c r="F80" s="2" t="s">
        <v>38</v>
      </c>
      <c r="G80" s="2" t="s">
        <v>805</v>
      </c>
      <c r="H80" s="2" t="s">
        <v>807</v>
      </c>
      <c r="I80" s="2" t="s">
        <v>41</v>
      </c>
      <c r="J80" s="2" t="s">
        <v>809</v>
      </c>
      <c r="K80" s="9" t="str">
        <f>IF(H80="", "", IF(ISNUMBER(_xlfn.XMATCH(H80, 'Viks State Rollup Sheet'!G:G)), "Found in Rollup", "MISSING in Rollup"))</f>
        <v>Found in Rollup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ht="15.75" customHeight="1">
      <c r="A81" s="2" t="s">
        <v>696</v>
      </c>
      <c r="B81" s="2" t="s">
        <v>818</v>
      </c>
      <c r="C81" s="2" t="s">
        <v>819</v>
      </c>
      <c r="D81" s="12" t="str">
        <f>IFERROR(__xludf.DUMMYFUNCTION("REGEXEXTRACT(E81, ""^(?:https?:\/\/)?(?:www\.)?([^\/]+)"")"),"healthequity.utah.gov")</f>
        <v>healthequity.utah.gov</v>
      </c>
      <c r="E81" s="2" t="s">
        <v>818</v>
      </c>
      <c r="F81" s="2" t="s">
        <v>38</v>
      </c>
      <c r="G81" s="2" t="s">
        <v>823</v>
      </c>
      <c r="H81" s="2" t="s">
        <v>649</v>
      </c>
      <c r="I81" s="2" t="s">
        <v>41</v>
      </c>
      <c r="J81" s="2" t="s">
        <v>627</v>
      </c>
      <c r="K81" s="9" t="str">
        <f>IF(H81="", "", IF(ISNUMBER(_xlfn.XMATCH(H81, 'Viks State Rollup Sheet'!G:G)), "Found in Rollup", "MISSING in Rollup"))</f>
        <v>Found in Rollup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ht="15.75" customHeight="1">
      <c r="A82" s="2" t="s">
        <v>696</v>
      </c>
      <c r="B82" s="2" t="s">
        <v>810</v>
      </c>
      <c r="C82" s="2" t="s">
        <v>829</v>
      </c>
      <c r="D82" s="12" t="str">
        <f>IFERROR(__xludf.DUMMYFUNCTION("REGEXEXTRACT(E82, ""^(?:https?:\/\/)?(?:www\.)?([^\/]+)"")"),"opidemic.utah.gov")</f>
        <v>opidemic.utah.gov</v>
      </c>
      <c r="E82" s="2" t="s">
        <v>814</v>
      </c>
      <c r="F82" s="2" t="s">
        <v>38</v>
      </c>
      <c r="G82" s="2" t="s">
        <v>831</v>
      </c>
      <c r="H82" s="2" t="s">
        <v>827</v>
      </c>
      <c r="I82" s="2" t="s">
        <v>41</v>
      </c>
      <c r="J82" s="2" t="s">
        <v>803</v>
      </c>
      <c r="K82" s="9" t="str">
        <f>IF(H82="", "", IF(ISNUMBER(_xlfn.XMATCH(H82, 'Viks State Rollup Sheet'!G:G)), "Found in Rollup", "MISSING in Rollup"))</f>
        <v>Found in Rollup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ht="15.75" customHeight="1">
      <c r="A83" s="2" t="s">
        <v>696</v>
      </c>
      <c r="B83" s="2" t="s">
        <v>836</v>
      </c>
      <c r="C83" s="2" t="s">
        <v>837</v>
      </c>
      <c r="D83" s="12" t="str">
        <f>IFERROR(__xludf.DUMMYFUNCTION("REGEXEXTRACT(E83, ""^(?:https?:\/\/)?(?:www\.)?([^\/]+)"")"),"ruralhealth.utah.gov")</f>
        <v>ruralhealth.utah.gov</v>
      </c>
      <c r="E83" s="2" t="s">
        <v>836</v>
      </c>
      <c r="F83" s="2" t="s">
        <v>38</v>
      </c>
      <c r="G83" s="2" t="s">
        <v>840</v>
      </c>
      <c r="H83" s="2" t="s">
        <v>842</v>
      </c>
      <c r="I83" s="2" t="s">
        <v>41</v>
      </c>
      <c r="J83" s="2" t="s">
        <v>845</v>
      </c>
      <c r="K83" s="9" t="str">
        <f>IF(H83="", "", IF(ISNUMBER(_xlfn.XMATCH(H83, 'Viks State Rollup Sheet'!G:G)), "Found in Rollup", "MISSING in Rollup"))</f>
        <v>Found in Rollup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ht="15.75" customHeight="1">
      <c r="A84" s="2" t="s">
        <v>696</v>
      </c>
      <c r="B84" s="2" t="s">
        <v>848</v>
      </c>
      <c r="C84" s="2" t="s">
        <v>849</v>
      </c>
      <c r="D84" s="12" t="str">
        <f>IFERROR(__xludf.DUMMYFUNCTION("REGEXEXTRACT(E84, ""^(?:https?:\/\/)?(?:www\.)?([^\/]+)"")"),"cancer.utah.gov")</f>
        <v>cancer.utah.gov</v>
      </c>
      <c r="E84" s="2" t="s">
        <v>852</v>
      </c>
      <c r="F84" s="2" t="s">
        <v>38</v>
      </c>
      <c r="G84" s="2" t="s">
        <v>853</v>
      </c>
      <c r="H84" s="2" t="s">
        <v>855</v>
      </c>
      <c r="I84" s="2" t="s">
        <v>41</v>
      </c>
      <c r="J84" s="2" t="s">
        <v>856</v>
      </c>
      <c r="K84" s="9" t="str">
        <f>IF(H84="", "", IF(ISNUMBER(_xlfn.XMATCH(H84, 'Viks State Rollup Sheet'!G:G)), "Found in Rollup", "MISSING in Rollup"))</f>
        <v>MISSING in Rollup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ht="15.75" customHeight="1">
      <c r="A85" s="2" t="s">
        <v>696</v>
      </c>
      <c r="B85" s="2" t="s">
        <v>864</v>
      </c>
      <c r="C85" s="2" t="s">
        <v>865</v>
      </c>
      <c r="D85" s="12" t="str">
        <f>IFERROR(__xludf.DUMMYFUNCTION("REGEXEXTRACT(E85, ""^(?:https?:\/\/)?(?:www\.)?([^\/]+)"")"),"vipp.utah.gov")</f>
        <v>vipp.utah.gov</v>
      </c>
      <c r="E85" s="2" t="s">
        <v>866</v>
      </c>
      <c r="F85" s="2" t="s">
        <v>38</v>
      </c>
      <c r="G85" s="2" t="s">
        <v>867</v>
      </c>
      <c r="H85" s="2" t="s">
        <v>868</v>
      </c>
      <c r="I85" s="2" t="s">
        <v>41</v>
      </c>
      <c r="J85" s="2" t="s">
        <v>869</v>
      </c>
      <c r="K85" s="9" t="str">
        <f>IF(H85="", "", IF(ISNUMBER(_xlfn.XMATCH(H85, 'Viks State Rollup Sheet'!G:G)), "Found in Rollup", "MISSING in Rollup"))</f>
        <v>Found in Rollup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ht="15.75" customHeight="1">
      <c r="A86" s="2" t="s">
        <v>696</v>
      </c>
      <c r="B86" s="2" t="s">
        <v>874</v>
      </c>
      <c r="C86" s="2" t="s">
        <v>875</v>
      </c>
      <c r="D86" s="12" t="str">
        <f>IFERROR(__xludf.DUMMYFUNCTION("REGEXEXTRACT(E86, ""^(?:https?:\/\/)?(?:www\.)?([^\/]+)"")"),"adoptionregistry.utah.gov")</f>
        <v>adoptionregistry.utah.gov</v>
      </c>
      <c r="E86" s="2" t="s">
        <v>880</v>
      </c>
      <c r="F86" s="2" t="s">
        <v>38</v>
      </c>
      <c r="G86" s="2" t="s">
        <v>882</v>
      </c>
      <c r="H86" s="2" t="s">
        <v>883</v>
      </c>
      <c r="I86" s="2" t="s">
        <v>41</v>
      </c>
      <c r="J86" s="2" t="s">
        <v>884</v>
      </c>
      <c r="K86" s="9" t="str">
        <f>IF(H86="", "", IF(ISNUMBER(_xlfn.XMATCH(H86, 'Viks State Rollup Sheet'!G:G)), "Found in Rollup", "MISSING in Rollup"))</f>
        <v>Found in Rollup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ht="15.75" customHeight="1">
      <c r="A87" s="2" t="s">
        <v>696</v>
      </c>
      <c r="B87" s="2" t="s">
        <v>888</v>
      </c>
      <c r="C87" s="2" t="s">
        <v>889</v>
      </c>
      <c r="D87" s="12" t="str">
        <f>IFERROR(__xludf.DUMMYFUNCTION("REGEXEXTRACT(E87, ""^(?:https?:\/\/)?(?:www\.)?([^\/]+)"")"),"healthassessment.utah.gov")</f>
        <v>healthassessment.utah.gov</v>
      </c>
      <c r="E87" s="2" t="s">
        <v>890</v>
      </c>
      <c r="F87" s="2" t="s">
        <v>38</v>
      </c>
      <c r="G87" s="2" t="s">
        <v>892</v>
      </c>
      <c r="H87" s="2" t="s">
        <v>893</v>
      </c>
      <c r="I87" s="2" t="s">
        <v>41</v>
      </c>
      <c r="J87" s="2" t="s">
        <v>894</v>
      </c>
      <c r="K87" s="9" t="str">
        <f>IF(H87="", "", IF(ISNUMBER(_xlfn.XMATCH(H87, 'Viks State Rollup Sheet'!G:G)), "Found in Rollup", "MISSING in Rollup"))</f>
        <v>Found in Rollup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ht="15.75" customHeight="1">
      <c r="A88" s="2" t="s">
        <v>696</v>
      </c>
      <c r="B88" s="2" t="s">
        <v>899</v>
      </c>
      <c r="C88" s="2" t="s">
        <v>900</v>
      </c>
      <c r="D88" s="12" t="str">
        <f>IFERROR(__xludf.DUMMYFUNCTION("REGEXEXTRACT(E88, ""^(?:https?:\/\/)?(?:www\.)?([^\/]+)"")"),"healthcarestats.utah.gov")</f>
        <v>healthcarestats.utah.gov</v>
      </c>
      <c r="E88" s="2" t="s">
        <v>904</v>
      </c>
      <c r="F88" s="2" t="s">
        <v>38</v>
      </c>
      <c r="G88" s="2" t="s">
        <v>906</v>
      </c>
      <c r="H88" s="2" t="s">
        <v>907</v>
      </c>
      <c r="I88" s="2" t="s">
        <v>41</v>
      </c>
      <c r="J88" s="2" t="s">
        <v>908</v>
      </c>
      <c r="K88" s="9" t="str">
        <f>IF(H88="", "", IF(ISNUMBER(_xlfn.XMATCH(H88, 'Viks State Rollup Sheet'!G:G)), "Found in Rollup", "MISSING in Rollup"))</f>
        <v>Found in Rollup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ht="15.75" customHeight="1">
      <c r="A89" s="2" t="s">
        <v>696</v>
      </c>
      <c r="B89" s="2" t="s">
        <v>913</v>
      </c>
      <c r="C89" s="2" t="s">
        <v>915</v>
      </c>
      <c r="D89" s="12" t="str">
        <f>IFERROR(__xludf.DUMMYFUNCTION("REGEXEXTRACT(E89, ""^(?:https?:\/\/)?(?:www\.)?([^\/]+)"")"),"patientsafety.utah.gov")</f>
        <v>patientsafety.utah.gov</v>
      </c>
      <c r="E89" s="2" t="s">
        <v>917</v>
      </c>
      <c r="F89" s="2" t="s">
        <v>38</v>
      </c>
      <c r="G89" s="2" t="s">
        <v>918</v>
      </c>
      <c r="H89" s="2" t="s">
        <v>919</v>
      </c>
      <c r="I89" s="2" t="s">
        <v>41</v>
      </c>
      <c r="J89" s="2" t="s">
        <v>920</v>
      </c>
      <c r="K89" s="9" t="str">
        <f>IF(H89="", "", IF(ISNUMBER(_xlfn.XMATCH(H89, 'Viks State Rollup Sheet'!G:G)), "Found in Rollup", "MISSING in Rollup"))</f>
        <v>Found in Rollup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ht="15.75" customHeight="1">
      <c r="A90" s="2" t="s">
        <v>696</v>
      </c>
      <c r="B90" s="2" t="s">
        <v>926</v>
      </c>
      <c r="C90" s="2" t="s">
        <v>927</v>
      </c>
      <c r="D90" s="12" t="str">
        <f>IFERROR(__xludf.DUMMYFUNCTION("REGEXEXTRACT(E90, ""^(?:https?:\/\/)?(?:www\.)?([^\/]+)"")"),"vitalrecords.utah.gov")</f>
        <v>vitalrecords.utah.gov</v>
      </c>
      <c r="E90" s="2" t="s">
        <v>928</v>
      </c>
      <c r="F90" s="2" t="s">
        <v>38</v>
      </c>
      <c r="G90" s="2" t="s">
        <v>929</v>
      </c>
      <c r="H90" s="2" t="s">
        <v>930</v>
      </c>
      <c r="I90" s="2" t="s">
        <v>41</v>
      </c>
      <c r="J90" s="2" t="s">
        <v>931</v>
      </c>
      <c r="K90" s="9" t="str">
        <f>IF(H90="", "", IF(ISNUMBER(_xlfn.XMATCH(H90, 'Viks State Rollup Sheet'!G:G)), "Found in Rollup", "MISSING in Rollup"))</f>
        <v>Found in Rollup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ht="15.75" customHeight="1">
      <c r="A91" s="2" t="s">
        <v>696</v>
      </c>
      <c r="B91" s="2" t="s">
        <v>936</v>
      </c>
      <c r="C91" s="2" t="s">
        <v>937</v>
      </c>
      <c r="D91" s="12" t="str">
        <f>IFERROR(__xludf.DUMMYFUNCTION("REGEXEXTRACT(E91, ""^(?:https?:\/\/)?(?:www\.)?([^\/]+)"")"),"dspd.utah.gov")</f>
        <v>dspd.utah.gov</v>
      </c>
      <c r="E91" s="2" t="s">
        <v>940</v>
      </c>
      <c r="F91" s="2" t="s">
        <v>38</v>
      </c>
      <c r="G91" s="2" t="s">
        <v>941</v>
      </c>
      <c r="H91" s="2" t="s">
        <v>263</v>
      </c>
      <c r="I91" s="2" t="s">
        <v>41</v>
      </c>
      <c r="J91" s="2" t="s">
        <v>257</v>
      </c>
      <c r="K91" s="9" t="str">
        <f>IF(H91="", "", IF(ISNUMBER(_xlfn.XMATCH(H91, 'Viks State Rollup Sheet'!G:G)), "Found in Rollup", "MISSING in Rollup"))</f>
        <v>Found in Rollup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ht="15.75" customHeight="1">
      <c r="A92" s="2" t="s">
        <v>696</v>
      </c>
      <c r="B92" s="2" t="s">
        <v>944</v>
      </c>
      <c r="C92" s="2" t="s">
        <v>946</v>
      </c>
      <c r="D92" s="12" t="str">
        <f>IFERROR(__xludf.DUMMYFUNCTION("REGEXEXTRACT(E92, ""^(?:https?:\/\/)?(?:www\.)?([^\/]+)"")"),"usdc.utah.gov")</f>
        <v>usdc.utah.gov</v>
      </c>
      <c r="E92" s="2" t="s">
        <v>947</v>
      </c>
      <c r="F92" s="2" t="s">
        <v>38</v>
      </c>
      <c r="G92" s="2" t="s">
        <v>948</v>
      </c>
      <c r="H92" s="2" t="s">
        <v>916</v>
      </c>
      <c r="I92" s="2" t="s">
        <v>41</v>
      </c>
      <c r="J92" s="2" t="s">
        <v>911</v>
      </c>
      <c r="K92" s="9" t="str">
        <f>IF(H92="", "", IF(ISNUMBER(_xlfn.XMATCH(H92, 'Viks State Rollup Sheet'!G:G)), "Found in Rollup", "MISSING in Rollup"))</f>
        <v>Found in Rollup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ht="15.75" customHeight="1">
      <c r="A93" s="2" t="s">
        <v>696</v>
      </c>
      <c r="B93" s="2" t="s">
        <v>954</v>
      </c>
      <c r="C93" s="2" t="s">
        <v>955</v>
      </c>
      <c r="D93" s="12" t="str">
        <f>IFERROR(__xludf.DUMMYFUNCTION("REGEXEXTRACT(E93, ""^(?:https?:\/\/)?(?:www\.)?([^\/]+)"")"),"coveringkids.utah.gov")</f>
        <v>coveringkids.utah.gov</v>
      </c>
      <c r="E93" s="2" t="s">
        <v>954</v>
      </c>
      <c r="F93" s="2" t="s">
        <v>38</v>
      </c>
      <c r="G93" s="2" t="s">
        <v>956</v>
      </c>
      <c r="H93" s="2" t="s">
        <v>957</v>
      </c>
      <c r="I93" s="2" t="s">
        <v>41</v>
      </c>
      <c r="J93" s="2" t="s">
        <v>495</v>
      </c>
      <c r="K93" s="9" t="str">
        <f>IF(H93="", "", IF(ISNUMBER(_xlfn.XMATCH(H93, 'Viks State Rollup Sheet'!G:G)), "Found in Rollup", "MISSING in Rollup"))</f>
        <v>MISSING in Rollup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ht="15.75" customHeight="1">
      <c r="A94" s="2" t="s">
        <v>696</v>
      </c>
      <c r="B94" s="2" t="s">
        <v>959</v>
      </c>
      <c r="C94" s="2" t="s">
        <v>960</v>
      </c>
      <c r="D94" s="12" t="str">
        <f>IFERROR(__xludf.DUMMYFUNCTION("REGEXEXTRACT(E94, ""^(?:https?:\/\/)?(?:www\.)?([^\/]+)"")"),"healthyminds.utah.gov")</f>
        <v>healthyminds.utah.gov</v>
      </c>
      <c r="E94" s="2" t="s">
        <v>959</v>
      </c>
      <c r="F94" s="2" t="s">
        <v>38</v>
      </c>
      <c r="G94" s="2" t="s">
        <v>961</v>
      </c>
      <c r="H94" s="2" t="s">
        <v>891</v>
      </c>
      <c r="I94" s="2" t="s">
        <v>41</v>
      </c>
      <c r="J94" s="2" t="s">
        <v>861</v>
      </c>
      <c r="K94" s="9" t="str">
        <f>IF(H94="", "", IF(ISNUMBER(_xlfn.XMATCH(H94, 'Viks State Rollup Sheet'!G:G)), "Found in Rollup", "MISSING in Rollup"))</f>
        <v>Found in Rollup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ht="15.75" customHeight="1">
      <c r="A95" s="2" t="s">
        <v>696</v>
      </c>
      <c r="B95" s="2" t="s">
        <v>963</v>
      </c>
      <c r="C95" s="2" t="s">
        <v>964</v>
      </c>
      <c r="D95" s="12" t="str">
        <f>IFERROR(__xludf.DUMMYFUNCTION("REGEXEXTRACT(E95, ""^(?:https?:\/\/)?(?:www\.)?([^\/]+)"")"),"medicaid.utah.gov")</f>
        <v>medicaid.utah.gov</v>
      </c>
      <c r="E95" s="2" t="s">
        <v>967</v>
      </c>
      <c r="F95" s="2" t="s">
        <v>38</v>
      </c>
      <c r="G95" s="2" t="s">
        <v>968</v>
      </c>
      <c r="H95" s="2" t="s">
        <v>969</v>
      </c>
      <c r="I95" s="2" t="s">
        <v>41</v>
      </c>
      <c r="J95" s="2" t="s">
        <v>971</v>
      </c>
      <c r="K95" s="9" t="str">
        <f>IF(H95="", "", IF(ISNUMBER(_xlfn.XMATCH(H95, 'Viks State Rollup Sheet'!G:G)), "Found in Rollup", "MISSING in Rollup"))</f>
        <v>Found in Rollup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ht="15.75" customHeight="1">
      <c r="A96" s="2" t="s">
        <v>696</v>
      </c>
      <c r="B96" s="2" t="s">
        <v>974</v>
      </c>
      <c r="C96" s="2" t="s">
        <v>975</v>
      </c>
      <c r="D96" s="12" t="str">
        <f>IFERROR(__xludf.DUMMYFUNCTION("REGEXEXTRACT(E96, ""^(?:https?:\/\/)?(?:www\.)?([^\/]+)"")"),"sumh.utah.gov")</f>
        <v>sumh.utah.gov</v>
      </c>
      <c r="E96" s="2" t="s">
        <v>977</v>
      </c>
      <c r="F96" s="2" t="s">
        <v>38</v>
      </c>
      <c r="G96" s="2" t="s">
        <v>978</v>
      </c>
      <c r="H96" s="2" t="s">
        <v>979</v>
      </c>
      <c r="I96" s="2" t="s">
        <v>41</v>
      </c>
      <c r="J96" s="2" t="s">
        <v>980</v>
      </c>
      <c r="K96" s="9" t="str">
        <f>IF(H96="", "", IF(ISNUMBER(_xlfn.XMATCH(H96, 'Viks State Rollup Sheet'!G:G)), "Found in Rollup", "MISSING in Rollup"))</f>
        <v>MISSING in Rollup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ht="15.75" customHeight="1">
      <c r="A97" s="2" t="s">
        <v>696</v>
      </c>
      <c r="B97" s="2" t="s">
        <v>982</v>
      </c>
      <c r="C97" s="2" t="s">
        <v>983</v>
      </c>
      <c r="D97" s="12" t="str">
        <f>IFERROR(__xludf.DUMMYFUNCTION("REGEXEXTRACT(E97, ""^(?:https?:\/\/)?(?:www\.)?([^\/]+)"")"),"ush.utah.gov")</f>
        <v>ush.utah.gov</v>
      </c>
      <c r="E97" s="2" t="s">
        <v>984</v>
      </c>
      <c r="F97" s="2" t="s">
        <v>38</v>
      </c>
      <c r="G97" s="2" t="s">
        <v>985</v>
      </c>
      <c r="H97" s="2" t="s">
        <v>949</v>
      </c>
      <c r="I97" s="2" t="s">
        <v>41</v>
      </c>
      <c r="J97" s="2" t="s">
        <v>943</v>
      </c>
      <c r="K97" s="9" t="str">
        <f>IF(H97="", "", IF(ISNUMBER(_xlfn.XMATCH(H97, 'Viks State Rollup Sheet'!G:G)), "Found in Rollup", "MISSING in Rollup"))</f>
        <v>Found in Rollup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ht="15.75" customHeight="1">
      <c r="A98" s="2" t="s">
        <v>696</v>
      </c>
      <c r="B98" s="2" t="s">
        <v>991</v>
      </c>
      <c r="C98" s="2" t="s">
        <v>992</v>
      </c>
      <c r="D98" s="12" t="str">
        <f>IFERROR(__xludf.DUMMYFUNCTION("REGEXEXTRACT(E98, ""^(?:https?:\/\/)?(?:www\.)?([^\/]+)"")"),"dhhs.utah.gov")</f>
        <v>dhhs.utah.gov</v>
      </c>
      <c r="E98" s="2" t="s">
        <v>991</v>
      </c>
      <c r="F98" s="2" t="s">
        <v>38</v>
      </c>
      <c r="G98" s="2" t="s">
        <v>993</v>
      </c>
      <c r="H98" s="2" t="s">
        <v>994</v>
      </c>
      <c r="I98" s="2" t="s">
        <v>41</v>
      </c>
      <c r="J98" s="2" t="s">
        <v>995</v>
      </c>
      <c r="K98" s="9" t="str">
        <f>IF(H98="", "", IF(ISNUMBER(_xlfn.XMATCH(H98, 'Viks State Rollup Sheet'!G:G)), "Found in Rollup", "MISSING in Rollup"))</f>
        <v>Found in Rollup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ht="15.75" customHeight="1">
      <c r="A99" s="22" t="s">
        <v>696</v>
      </c>
      <c r="B99" s="22" t="s">
        <v>997</v>
      </c>
      <c r="C99" s="22" t="s">
        <v>997</v>
      </c>
      <c r="D99" s="12" t="str">
        <f>IFERROR(__xludf.DUMMYFUNCTION("REGEXEXTRACT(E99, ""^(?:https?:\/\/)?(?:www\.)?([^\/]+)"")"),"dhhs.utah.gov")</f>
        <v>dhhs.utah.gov</v>
      </c>
      <c r="E99" s="23" t="s">
        <v>998</v>
      </c>
      <c r="F99" s="22" t="s">
        <v>278</v>
      </c>
      <c r="G99" s="2" t="s">
        <v>999</v>
      </c>
      <c r="H99" s="2" t="s">
        <v>994</v>
      </c>
      <c r="I99" s="2" t="s">
        <v>41</v>
      </c>
      <c r="J99" s="2" t="s">
        <v>995</v>
      </c>
      <c r="K99" s="9" t="str">
        <f>IF(H99="", "", IF(ISNUMBER(_xlfn.XMATCH(H99, 'Viks State Rollup Sheet'!G:G)), "Found in Rollup", "MISSING in Rollup"))</f>
        <v>Found in Rollup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ht="15.75" customHeight="1">
      <c r="A100" s="2" t="s">
        <v>696</v>
      </c>
      <c r="B100" s="2" t="s">
        <v>1009</v>
      </c>
      <c r="C100" s="2" t="s">
        <v>1010</v>
      </c>
      <c r="D100" s="12" t="str">
        <f>IFERROR(__xludf.DUMMYFUNCTION("REGEXEXTRACT(E100, ""^(?:https?:\/\/)?(?:www\.)?([^\/]+)"")"),"ome.utah.gov")</f>
        <v>ome.utah.gov</v>
      </c>
      <c r="E100" s="2" t="s">
        <v>1013</v>
      </c>
      <c r="F100" s="2" t="s">
        <v>38</v>
      </c>
      <c r="G100" s="2" t="s">
        <v>1015</v>
      </c>
      <c r="H100" s="2" t="s">
        <v>1016</v>
      </c>
      <c r="I100" s="2" t="s">
        <v>41</v>
      </c>
      <c r="J100" s="2" t="s">
        <v>1017</v>
      </c>
      <c r="K100" s="9" t="str">
        <f>IF(H100="", "", IF(ISNUMBER(_xlfn.XMATCH(H100, 'Viks State Rollup Sheet'!G:G)), "Found in Rollup", "MISSING in Rollup"))</f>
        <v>Found in Rollup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ht="15.75" customHeight="1">
      <c r="A101" s="2" t="s">
        <v>696</v>
      </c>
      <c r="B101" s="2" t="s">
        <v>588</v>
      </c>
      <c r="C101" s="2" t="s">
        <v>1018</v>
      </c>
      <c r="D101" s="12" t="str">
        <f>IFERROR(__xludf.DUMMYFUNCTION("REGEXEXTRACT(E101, ""^(?:https?:\/\/)?(?:www\.)?([^\/]+)"")"),"ors.utah.gov")</f>
        <v>ors.utah.gov</v>
      </c>
      <c r="E101" s="2" t="s">
        <v>595</v>
      </c>
      <c r="F101" s="2" t="s">
        <v>38</v>
      </c>
      <c r="G101" s="2" t="s">
        <v>1020</v>
      </c>
      <c r="H101" s="2" t="s">
        <v>598</v>
      </c>
      <c r="I101" s="2" t="s">
        <v>41</v>
      </c>
      <c r="J101" s="2" t="s">
        <v>587</v>
      </c>
      <c r="K101" s="9" t="str">
        <f>IF(H101="", "", IF(ISNUMBER(_xlfn.XMATCH(H101, 'Viks State Rollup Sheet'!G:G)), "Found in Rollup", "MISSING in Rollup"))</f>
        <v>Found in Rollup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ht="15.75" customHeight="1">
      <c r="A102" s="2" t="s">
        <v>696</v>
      </c>
      <c r="B102" s="2" t="s">
        <v>1021</v>
      </c>
      <c r="C102" s="2" t="s">
        <v>1022</v>
      </c>
      <c r="D102" s="12" t="str">
        <f>IFERROR(__xludf.DUMMYFUNCTION("REGEXEXTRACT(E102, ""^(?:https?:\/\/)?(?:www\.)?([^\/]+)"")"),"socialharms.utah.gov")</f>
        <v>socialharms.utah.gov</v>
      </c>
      <c r="E102" s="2" t="s">
        <v>1026</v>
      </c>
      <c r="F102" s="2" t="s">
        <v>38</v>
      </c>
      <c r="G102" s="2" t="s">
        <v>1028</v>
      </c>
      <c r="H102" s="2" t="s">
        <v>1029</v>
      </c>
      <c r="I102" s="2" t="s">
        <v>41</v>
      </c>
      <c r="J102" s="2" t="s">
        <v>1030</v>
      </c>
      <c r="K102" s="9" t="str">
        <f>IF(H102="", "", IF(ISNUMBER(_xlfn.XMATCH(H102, 'Viks State Rollup Sheet'!G:G)), "Found in Rollup", "MISSING in Rollup"))</f>
        <v>Found in Rollup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ht="15.75" customHeight="1">
      <c r="A103" s="2" t="s">
        <v>696</v>
      </c>
      <c r="B103" s="2" t="s">
        <v>1037</v>
      </c>
      <c r="C103" s="2" t="s">
        <v>1038</v>
      </c>
      <c r="D103" s="12" t="str">
        <f>IFERROR(__xludf.DUMMYFUNCTION("REGEXEXTRACT(E103, ""^(?:https?:\/\/)?(?:www\.)?([^\/]+)"")"),"newbornscreening.utah.gov")</f>
        <v>newbornscreening.utah.gov</v>
      </c>
      <c r="E103" s="2" t="s">
        <v>1040</v>
      </c>
      <c r="F103" s="2" t="s">
        <v>38</v>
      </c>
      <c r="G103" s="2" t="s">
        <v>1042</v>
      </c>
      <c r="H103" s="2" t="s">
        <v>1043</v>
      </c>
      <c r="I103" s="2" t="s">
        <v>41</v>
      </c>
      <c r="J103" s="2" t="s">
        <v>1045</v>
      </c>
      <c r="K103" s="9" t="str">
        <f>IF(H103="", "", IF(ISNUMBER(_xlfn.XMATCH(H103, 'Viks State Rollup Sheet'!G:G)), "Found in Rollup", "MISSING in Rollup"))</f>
        <v>Found in Rollup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ht="15.75" customHeight="1">
      <c r="A104" s="2" t="s">
        <v>696</v>
      </c>
      <c r="B104" s="2" t="s">
        <v>1051</v>
      </c>
      <c r="C104" s="2" t="s">
        <v>1053</v>
      </c>
      <c r="D104" s="12" t="str">
        <f>IFERROR(__xludf.DUMMYFUNCTION("REGEXEXTRACT(E104, ""^(?:https?:\/\/)?(?:www\.)?([^\/]+)"")"),"uphl.utah.gov")</f>
        <v>uphl.utah.gov</v>
      </c>
      <c r="E104" s="2" t="s">
        <v>1054</v>
      </c>
      <c r="F104" s="2" t="s">
        <v>38</v>
      </c>
      <c r="G104" s="2" t="s">
        <v>1056</v>
      </c>
      <c r="H104" s="2" t="s">
        <v>887</v>
      </c>
      <c r="I104" s="2" t="s">
        <v>41</v>
      </c>
      <c r="J104" s="2" t="s">
        <v>877</v>
      </c>
      <c r="K104" s="9" t="str">
        <f>IF(H104="", "", IF(ISNUMBER(_xlfn.XMATCH(H104, 'Viks State Rollup Sheet'!G:G)), "Found in Rollup", "MISSING in Rollup"))</f>
        <v>Found in Rollup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ht="15.75" customHeight="1">
      <c r="A105" s="2" t="s">
        <v>696</v>
      </c>
      <c r="B105" s="2" t="s">
        <v>1058</v>
      </c>
      <c r="C105" s="2" t="s">
        <v>1059</v>
      </c>
      <c r="D105" s="12" t="str">
        <f>IFERROR(__xludf.DUMMYFUNCTION("REGEXEXTRACT(E105, ""^(?:https?:\/\/)?(?:www\.)?([^\/]+)"")"),"uphl.utah.gov")</f>
        <v>uphl.utah.gov</v>
      </c>
      <c r="E105" s="2" t="s">
        <v>1060</v>
      </c>
      <c r="F105" s="2" t="s">
        <v>38</v>
      </c>
      <c r="G105" s="2" t="s">
        <v>1056</v>
      </c>
      <c r="H105" s="2" t="s">
        <v>887</v>
      </c>
      <c r="I105" s="2" t="s">
        <v>41</v>
      </c>
      <c r="J105" s="2" t="s">
        <v>877</v>
      </c>
      <c r="K105" s="9" t="str">
        <f>IF(H105="", "", IF(ISNUMBER(_xlfn.XMATCH(H105, 'Viks State Rollup Sheet'!G:G)), "Found in Rollup", "MISSING in Rollup"))</f>
        <v>Found in Rollup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ht="15.75" customHeight="1">
      <c r="A106" s="2" t="s">
        <v>696</v>
      </c>
      <c r="B106" s="2" t="s">
        <v>1064</v>
      </c>
      <c r="C106" s="2" t="s">
        <v>1065</v>
      </c>
      <c r="D106" s="12" t="str">
        <f>IFERROR(__xludf.DUMMYFUNCTION("REGEXEXTRACT(E106, ""^(?:https?:\/\/)?(?:www\.)?([^\/]+)"")"),"uddc.utah.gov")</f>
        <v>uddc.utah.gov</v>
      </c>
      <c r="E106" s="2" t="s">
        <v>1066</v>
      </c>
      <c r="F106" s="2" t="s">
        <v>38</v>
      </c>
      <c r="G106" s="2" t="s">
        <v>1067</v>
      </c>
      <c r="H106" s="2" t="s">
        <v>1069</v>
      </c>
      <c r="I106" s="2" t="s">
        <v>41</v>
      </c>
      <c r="J106" s="2" t="s">
        <v>1071</v>
      </c>
      <c r="K106" s="9" t="str">
        <f>IF(H106="", "", IF(ISNUMBER(_xlfn.XMATCH(H106, 'Viks State Rollup Sheet'!G:G)), "Found in Rollup", "MISSING in Rollup"))</f>
        <v>MISSING in Rollup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ht="15.75" customHeight="1">
      <c r="A107" s="2" t="s">
        <v>229</v>
      </c>
      <c r="B107" s="2" t="s">
        <v>1074</v>
      </c>
      <c r="C107" s="2" t="s">
        <v>1076</v>
      </c>
      <c r="D107" s="12" t="str">
        <f>IFERROR(__xludf.DUMMYFUNCTION("REGEXEXTRACT(E107, ""^(?:https?:\/\/)?(?:www\.)?([^\/]+)"")"),"wildlife.utah.gov")</f>
        <v>wildlife.utah.gov</v>
      </c>
      <c r="E107" s="2" t="s">
        <v>1074</v>
      </c>
      <c r="F107" s="2" t="s">
        <v>38</v>
      </c>
      <c r="G107" s="2" t="s">
        <v>1080</v>
      </c>
      <c r="H107" s="2" t="s">
        <v>1073</v>
      </c>
      <c r="I107" s="2" t="s">
        <v>41</v>
      </c>
      <c r="J107" s="2" t="s">
        <v>1068</v>
      </c>
      <c r="K107" s="9" t="str">
        <f>IF(H107="", "", IF(ISNUMBER(_xlfn.XMATCH(H107, 'Viks State Rollup Sheet'!G:G)), "Found in Rollup", "MISSING in Rollup"))</f>
        <v>Found in Rollup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ht="15.75" customHeight="1">
      <c r="A108" s="2" t="s">
        <v>229</v>
      </c>
      <c r="B108" s="2" t="s">
        <v>1082</v>
      </c>
      <c r="C108" s="2" t="s">
        <v>1083</v>
      </c>
      <c r="D108" s="12" t="str">
        <f>IFERROR(__xludf.DUMMYFUNCTION("REGEXEXTRACT(E108, ""^(?:https?:\/\/)?(?:www\.)?([^\/]+)"")"),"fish.utah.gov")</f>
        <v>fish.utah.gov</v>
      </c>
      <c r="E108" s="12" t="s">
        <v>1082</v>
      </c>
      <c r="F108" s="2" t="s">
        <v>38</v>
      </c>
      <c r="G108" s="2" t="s">
        <v>52</v>
      </c>
      <c r="H108" s="2" t="s">
        <v>1086</v>
      </c>
      <c r="I108" s="2" t="s">
        <v>41</v>
      </c>
      <c r="J108" s="2" t="s">
        <v>283</v>
      </c>
      <c r="K108" s="9" t="str">
        <f>IF(H108="", "", IF(ISNUMBER(_xlfn.XMATCH(H108, 'Viks State Rollup Sheet'!G:G)), "Found in Rollup", "MISSING in Rollup"))</f>
        <v>MISSING in Rollup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ht="15.75" customHeight="1">
      <c r="A109" s="2" t="s">
        <v>229</v>
      </c>
      <c r="B109" s="2" t="s">
        <v>1088</v>
      </c>
      <c r="C109" s="2" t="s">
        <v>1089</v>
      </c>
      <c r="D109" s="12" t="str">
        <f>IFERROR(__xludf.DUMMYFUNCTION("REGEXEXTRACT(E109, ""^(?:https?:\/\/)?(?:www\.)?([^\/]+)"")"),"hunt.utah.gov")</f>
        <v>hunt.utah.gov</v>
      </c>
      <c r="E109" s="12" t="s">
        <v>1088</v>
      </c>
      <c r="F109" s="2" t="s">
        <v>38</v>
      </c>
      <c r="G109" s="2" t="s">
        <v>52</v>
      </c>
      <c r="H109" s="2" t="s">
        <v>921</v>
      </c>
      <c r="I109" s="2" t="s">
        <v>41</v>
      </c>
      <c r="J109" s="2" t="s">
        <v>283</v>
      </c>
      <c r="K109" s="9" t="str">
        <f>IF(H109="", "", IF(ISNUMBER(_xlfn.XMATCH(H109, 'Viks State Rollup Sheet'!G:G)), "Found in Rollup", "MISSING in Rollup"))</f>
        <v>MISSING in Rollup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ht="15.75" customHeight="1">
      <c r="A110" s="2" t="s">
        <v>229</v>
      </c>
      <c r="B110" s="2" t="s">
        <v>1096</v>
      </c>
      <c r="C110" s="2" t="s">
        <v>1097</v>
      </c>
      <c r="D110" s="12" t="str">
        <f>IFERROR(__xludf.DUMMYFUNCTION("REGEXEXTRACT(E110, ""^(?:https?:\/\/)?(?:www\.)?([^\/]+)"")"),"stdofthesea.utah.gov")</f>
        <v>stdofthesea.utah.gov</v>
      </c>
      <c r="E110" s="12" t="s">
        <v>1096</v>
      </c>
      <c r="F110" s="2" t="s">
        <v>38</v>
      </c>
      <c r="G110" s="2" t="s">
        <v>52</v>
      </c>
      <c r="H110" s="2" t="s">
        <v>847</v>
      </c>
      <c r="I110" s="2" t="s">
        <v>41</v>
      </c>
      <c r="J110" s="2" t="s">
        <v>843</v>
      </c>
      <c r="K110" s="9" t="str">
        <f>IF(H110="", "", IF(ISNUMBER(_xlfn.XMATCH(H110, 'Viks State Rollup Sheet'!G:G)), "Found in Rollup", "MISSING in Rollup"))</f>
        <v>Found in Rollup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ht="15.75" customHeight="1">
      <c r="A111" s="2" t="s">
        <v>229</v>
      </c>
      <c r="B111" s="2" t="s">
        <v>1099</v>
      </c>
      <c r="C111" s="2" t="s">
        <v>1100</v>
      </c>
      <c r="D111" s="12" t="str">
        <f>IFERROR(__xludf.DUMMYFUNCTION("REGEXEXTRACT(E111, ""^(?:https?:\/\/)?(?:www\.)?([^\/]+)"")"),"wildlifemigration.utah.gov")</f>
        <v>wildlifemigration.utah.gov</v>
      </c>
      <c r="E111" s="12" t="s">
        <v>1099</v>
      </c>
      <c r="F111" s="2" t="s">
        <v>38</v>
      </c>
      <c r="G111" s="2" t="s">
        <v>52</v>
      </c>
      <c r="H111" s="2" t="s">
        <v>1106</v>
      </c>
      <c r="I111" s="2" t="s">
        <v>41</v>
      </c>
      <c r="J111" s="2" t="s">
        <v>1107</v>
      </c>
      <c r="K111" s="9" t="str">
        <f>IF(H111="", "", IF(ISNUMBER(_xlfn.XMATCH(H111, 'Viks State Rollup Sheet'!G:G)), "Found in Rollup", "MISSING in Rollup"))</f>
        <v>MISSING in Rollup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ht="15.75" customHeight="1">
      <c r="A112" s="2" t="s">
        <v>229</v>
      </c>
      <c r="B112" s="2" t="s">
        <v>1108</v>
      </c>
      <c r="C112" s="2" t="s">
        <v>1109</v>
      </c>
      <c r="D112" s="12" t="str">
        <f>IFERROR(__xludf.DUMMYFUNCTION("REGEXEXTRACT(E112, ""^(?:https?:\/\/)?(?:www\.)?([^\/]+)"")"),"ffsl.utah.gov")</f>
        <v>ffsl.utah.gov</v>
      </c>
      <c r="E112" s="2" t="s">
        <v>1108</v>
      </c>
      <c r="F112" s="2" t="s">
        <v>38</v>
      </c>
      <c r="G112" s="2" t="s">
        <v>52</v>
      </c>
      <c r="H112" s="2" t="s">
        <v>1110</v>
      </c>
      <c r="I112" s="2" t="s">
        <v>41</v>
      </c>
      <c r="J112" s="2" t="s">
        <v>1111</v>
      </c>
      <c r="K112" s="9" t="str">
        <f>IF(H112="", "", IF(ISNUMBER(_xlfn.XMATCH(H112, 'Viks State Rollup Sheet'!G:G)), "Found in Rollup", "MISSING in Rollup"))</f>
        <v>Found in Rollup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ht="15.75" customHeight="1">
      <c r="A113" s="2" t="s">
        <v>229</v>
      </c>
      <c r="B113" s="2" t="s">
        <v>1118</v>
      </c>
      <c r="C113" s="2" t="s">
        <v>1120</v>
      </c>
      <c r="D113" s="12" t="str">
        <f>IFERROR(__xludf.DUMMYFUNCTION("REGEXEXTRACT(E113, ""^(?:https?:\/\/)?(?:www\.)?([^\/]+)"")"),"energy.utah.gov")</f>
        <v>energy.utah.gov</v>
      </c>
      <c r="E113" s="2" t="s">
        <v>1118</v>
      </c>
      <c r="F113" s="2" t="s">
        <v>38</v>
      </c>
      <c r="G113" s="2" t="s">
        <v>52</v>
      </c>
      <c r="H113" s="2" t="s">
        <v>367</v>
      </c>
      <c r="I113" s="2" t="s">
        <v>41</v>
      </c>
      <c r="J113" s="2" t="s">
        <v>357</v>
      </c>
      <c r="K113" s="9" t="str">
        <f>IF(H113="", "", IF(ISNUMBER(_xlfn.XMATCH(H113, 'Viks State Rollup Sheet'!G:G)), "Found in Rollup", "MISSING in Rollup"))</f>
        <v>Found in Rollup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ht="15.75" customHeight="1">
      <c r="A114" s="2" t="s">
        <v>229</v>
      </c>
      <c r="B114" s="2" t="s">
        <v>1122</v>
      </c>
      <c r="C114" s="2" t="s">
        <v>1124</v>
      </c>
      <c r="D114" s="12" t="str">
        <f>IFERROR(__xludf.DUMMYFUNCTION("REGEXEXTRACT(E114, ""^(?:https?:\/\/)?(?:www\.)?([^\/]+)"")"),"ogm.utah.gov")</f>
        <v>ogm.utah.gov</v>
      </c>
      <c r="E114" s="2" t="s">
        <v>1126</v>
      </c>
      <c r="F114" s="2" t="s">
        <v>38</v>
      </c>
      <c r="G114" s="2" t="s">
        <v>52</v>
      </c>
      <c r="H114" s="2" t="s">
        <v>1128</v>
      </c>
      <c r="I114" s="2" t="s">
        <v>41</v>
      </c>
      <c r="J114" s="2" t="s">
        <v>1129</v>
      </c>
      <c r="K114" s="9" t="str">
        <f>IF(H114="", "", IF(ISNUMBER(_xlfn.XMATCH(H114, 'Viks State Rollup Sheet'!G:G)), "Found in Rollup", "MISSING in Rollup"))</f>
        <v>Found in Rollup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ht="15.75" customHeight="1">
      <c r="A115" s="2" t="s">
        <v>229</v>
      </c>
      <c r="B115" s="2" t="s">
        <v>1137</v>
      </c>
      <c r="C115" s="2" t="s">
        <v>1138</v>
      </c>
      <c r="D115" s="12" t="str">
        <f>IFERROR(__xludf.DUMMYFUNCTION("REGEXEXTRACT(E115, ""^(?:https?:\/\/)?(?:www\.)?([^\/]+)"")"),"geology.utah.gov")</f>
        <v>geology.utah.gov</v>
      </c>
      <c r="E115" s="2" t="s">
        <v>1137</v>
      </c>
      <c r="F115" s="2" t="s">
        <v>38</v>
      </c>
      <c r="G115" s="2" t="s">
        <v>1141</v>
      </c>
      <c r="H115" s="2" t="s">
        <v>1142</v>
      </c>
      <c r="I115" s="2" t="s">
        <v>41</v>
      </c>
      <c r="J115" s="2" t="s">
        <v>1143</v>
      </c>
      <c r="K115" s="9" t="str">
        <f>IF(H115="", "", IF(ISNUMBER(_xlfn.XMATCH(H115, 'Viks State Rollup Sheet'!G:G)), "Found in Rollup", "MISSING in Rollup"))</f>
        <v>MISSING in Rollup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ht="15.75" customHeight="1">
      <c r="A116" s="2" t="s">
        <v>229</v>
      </c>
      <c r="B116" s="2" t="s">
        <v>1148</v>
      </c>
      <c r="C116" s="2" t="s">
        <v>1149</v>
      </c>
      <c r="D116" s="12" t="str">
        <f>IFERROR(__xludf.DUMMYFUNCTION("REGEXEXTRACT(E116, ""^(?:https?:\/\/)?(?:www\.)?([^\/]+)"")"),"earthquakes.utah.gov")</f>
        <v>earthquakes.utah.gov</v>
      </c>
      <c r="E116" s="2" t="s">
        <v>1148</v>
      </c>
      <c r="F116" s="2" t="s">
        <v>38</v>
      </c>
      <c r="G116" s="2" t="s">
        <v>1152</v>
      </c>
      <c r="H116" s="2" t="s">
        <v>1153</v>
      </c>
      <c r="I116" s="2" t="s">
        <v>41</v>
      </c>
      <c r="J116" s="2" t="s">
        <v>1155</v>
      </c>
      <c r="K116" s="9" t="str">
        <f>IF(H116="", "", IF(ISNUMBER(_xlfn.XMATCH(H116, 'Viks State Rollup Sheet'!G:G)), "Found in Rollup", "MISSING in Rollup"))</f>
        <v>Found in Rollup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ht="15.75" customHeight="1">
      <c r="A117" s="2" t="s">
        <v>229</v>
      </c>
      <c r="B117" s="2" t="s">
        <v>1162</v>
      </c>
      <c r="C117" s="2" t="s">
        <v>1163</v>
      </c>
      <c r="D117" s="12" t="str">
        <f>IFERROR(__xludf.DUMMYFUNCTION("REGEXEXTRACT(E117, ""^(?:https?:\/\/)?(?:www\.)?([^\/]+)"")"),"conservewater.utah.gov")</f>
        <v>conservewater.utah.gov</v>
      </c>
      <c r="E117" s="2" t="s">
        <v>1162</v>
      </c>
      <c r="F117" s="2" t="s">
        <v>38</v>
      </c>
      <c r="G117" s="2" t="s">
        <v>1167</v>
      </c>
      <c r="H117" s="2" t="s">
        <v>1019</v>
      </c>
      <c r="I117" s="2" t="s">
        <v>41</v>
      </c>
      <c r="J117" s="2" t="s">
        <v>1001</v>
      </c>
      <c r="K117" s="9" t="str">
        <f>IF(H117="", "", IF(ISNUMBER(_xlfn.XMATCH(H117, 'Viks State Rollup Sheet'!G:G)), "Found in Rollup", "MISSING in Rollup"))</f>
        <v>Found in Rollup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ht="15.75" customHeight="1">
      <c r="A118" s="2" t="s">
        <v>229</v>
      </c>
      <c r="B118" s="2" t="s">
        <v>1177</v>
      </c>
      <c r="C118" s="2" t="s">
        <v>1178</v>
      </c>
      <c r="D118" s="12" t="str">
        <f>IFERROR(__xludf.DUMMYFUNCTION("REGEXEXTRACT(E118, ""^(?:https?:\/\/)?(?:www\.)?([^\/]+)"")"),"drought.utah.gov")</f>
        <v>drought.utah.gov</v>
      </c>
      <c r="E118" s="12" t="s">
        <v>1177</v>
      </c>
      <c r="F118" s="2" t="s">
        <v>38</v>
      </c>
      <c r="G118" s="2" t="s">
        <v>1185</v>
      </c>
      <c r="H118" s="2" t="s">
        <v>791</v>
      </c>
      <c r="I118" s="2" t="s">
        <v>41</v>
      </c>
      <c r="J118" s="2" t="s">
        <v>746</v>
      </c>
      <c r="K118" s="9" t="str">
        <f>IF(H118="", "", IF(ISNUMBER(_xlfn.XMATCH(H118, 'Viks State Rollup Sheet'!G:G)), "Found in Rollup", "MISSING in Rollup"))</f>
        <v>Found in Rollup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ht="15.75" customHeight="1">
      <c r="A119" s="2" t="s">
        <v>229</v>
      </c>
      <c r="B119" s="2" t="s">
        <v>1188</v>
      </c>
      <c r="C119" s="2" t="s">
        <v>1189</v>
      </c>
      <c r="D119" s="12" t="str">
        <f>IFERROR(__xludf.DUMMYFUNCTION("REGEXEXTRACT(E119, ""^(?:https?:\/\/)?(?:www\.)?([^\/]+)"")"),"water.utah.gov")</f>
        <v>water.utah.gov</v>
      </c>
      <c r="E119" s="2" t="s">
        <v>1188</v>
      </c>
      <c r="F119" s="2" t="s">
        <v>38</v>
      </c>
      <c r="G119" s="2" t="s">
        <v>1190</v>
      </c>
      <c r="H119" s="2" t="s">
        <v>996</v>
      </c>
      <c r="I119" s="2" t="s">
        <v>41</v>
      </c>
      <c r="J119" s="2" t="s">
        <v>986</v>
      </c>
      <c r="K119" s="9" t="str">
        <f>IF(H119="", "", IF(ISNUMBER(_xlfn.XMATCH(H119, 'Viks State Rollup Sheet'!G:G)), "Found in Rollup", "MISSING in Rollup"))</f>
        <v>Found in Rollup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ht="15.75" customHeight="1">
      <c r="A120" s="2" t="s">
        <v>214</v>
      </c>
      <c r="B120" s="2" t="s">
        <v>1195</v>
      </c>
      <c r="C120" s="2" t="s">
        <v>1197</v>
      </c>
      <c r="D120" s="2" t="s">
        <v>1195</v>
      </c>
      <c r="E120" s="2" t="s">
        <v>1195</v>
      </c>
      <c r="F120" s="2" t="s">
        <v>38</v>
      </c>
      <c r="G120" s="2" t="s">
        <v>217</v>
      </c>
      <c r="H120" s="2" t="s">
        <v>1201</v>
      </c>
      <c r="I120" s="2" t="s">
        <v>41</v>
      </c>
      <c r="J120" s="2" t="s">
        <v>1202</v>
      </c>
      <c r="K120" s="9" t="str">
        <f>IF(H120="", "", IF(ISNUMBER(_xlfn.XMATCH(H120, 'Viks State Rollup Sheet'!G:G)), "Found in Rollup", "MISSING in Rollup"))</f>
        <v>MISSING in Rollup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ht="15.75" customHeight="1">
      <c r="A121" s="2" t="s">
        <v>356</v>
      </c>
      <c r="B121" s="2" t="s">
        <v>1210</v>
      </c>
      <c r="C121" s="2" t="s">
        <v>1211</v>
      </c>
      <c r="D121" s="12" t="str">
        <f>IFERROR(__xludf.DUMMYFUNCTION("REGEXEXTRACT(E121, ""^(?:https?:\/\/)?(?:www\.)?([^\/]+)"")"),"bci.utah.gov")</f>
        <v>bci.utah.gov</v>
      </c>
      <c r="E121" s="28" t="s">
        <v>1210</v>
      </c>
      <c r="F121" s="2" t="s">
        <v>38</v>
      </c>
      <c r="G121" s="2" t="s">
        <v>217</v>
      </c>
      <c r="H121" s="2" t="s">
        <v>1223</v>
      </c>
      <c r="I121" s="2" t="s">
        <v>41</v>
      </c>
      <c r="J121" s="2" t="s">
        <v>1224</v>
      </c>
      <c r="K121" s="9" t="str">
        <f>IF(H121="", "", IF(ISNUMBER(_xlfn.XMATCH(H121, 'Viks State Rollup Sheet'!G:G)), "Found in Rollup", "MISSING in Rollup"))</f>
        <v>MISSING in Rollup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ht="15.75" customHeight="1">
      <c r="A122" s="2" t="s">
        <v>356</v>
      </c>
      <c r="B122" s="2" t="s">
        <v>1232</v>
      </c>
      <c r="C122" s="2" t="s">
        <v>1233</v>
      </c>
      <c r="D122" s="12" t="str">
        <f>IFERROR(__xludf.DUMMYFUNCTION("REGEXEXTRACT(E122, ""^(?:https?:\/\/)?(?:www\.)?([^\/]+)"")"),"post.utah.gov")</f>
        <v>post.utah.gov</v>
      </c>
      <c r="E122" s="2" t="s">
        <v>1234</v>
      </c>
      <c r="F122" s="2" t="s">
        <v>38</v>
      </c>
      <c r="G122" s="2" t="s">
        <v>217</v>
      </c>
      <c r="H122" s="2" t="s">
        <v>1223</v>
      </c>
      <c r="I122" s="2" t="s">
        <v>41</v>
      </c>
      <c r="J122" s="2" t="s">
        <v>1224</v>
      </c>
      <c r="K122" s="9" t="str">
        <f>IF(H122="", "", IF(ISNUMBER(_xlfn.XMATCH(H122, 'Viks State Rollup Sheet'!G:G)), "Found in Rollup", "MISSING in Rollup"))</f>
        <v>MISSING in Rollup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ht="15.75" customHeight="1">
      <c r="A123" s="22" t="s">
        <v>473</v>
      </c>
      <c r="B123" s="22" t="s">
        <v>1246</v>
      </c>
      <c r="C123" s="22" t="s">
        <v>1246</v>
      </c>
      <c r="D123" s="12" t="str">
        <f>IFERROR(__xludf.DUMMYFUNCTION("REGEXEXTRACT(E123, ""^(?:https?:\/\/)?(?:www\.)?([^\/]+)"")"),"bci.utah.gov")</f>
        <v>bci.utah.gov</v>
      </c>
      <c r="E123" s="23" t="s">
        <v>1247</v>
      </c>
      <c r="F123" s="22" t="s">
        <v>278</v>
      </c>
      <c r="G123" s="2" t="s">
        <v>217</v>
      </c>
      <c r="H123" s="2" t="s">
        <v>1223</v>
      </c>
      <c r="I123" s="2" t="s">
        <v>41</v>
      </c>
      <c r="J123" s="2" t="s">
        <v>1224</v>
      </c>
      <c r="K123" s="9" t="str">
        <f>IF(H123="", "", IF(ISNUMBER(_xlfn.XMATCH(H123, 'Viks State Rollup Sheet'!G:G)), "Found in Rollup", "MISSING in Rollup"))</f>
        <v>MISSING in Rollup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ht="15.75" customHeight="1">
      <c r="A124" s="2" t="s">
        <v>356</v>
      </c>
      <c r="B124" s="2" t="s">
        <v>1253</v>
      </c>
      <c r="C124" s="2" t="s">
        <v>1254</v>
      </c>
      <c r="D124" s="2" t="s">
        <v>1253</v>
      </c>
      <c r="E124" s="2" t="s">
        <v>1253</v>
      </c>
      <c r="F124" s="2" t="s">
        <v>38</v>
      </c>
      <c r="G124" s="2" t="s">
        <v>52</v>
      </c>
      <c r="H124" s="2" t="s">
        <v>1256</v>
      </c>
      <c r="I124" s="2" t="s">
        <v>41</v>
      </c>
      <c r="J124" s="2" t="s">
        <v>1257</v>
      </c>
      <c r="K124" s="9" t="str">
        <f>IF(H124="", "", IF(ISNUMBER(_xlfn.XMATCH(H124, 'Viks State Rollup Sheet'!G:G)), "Found in Rollup", "MISSING in Rollup"))</f>
        <v>Found in Rollup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ht="15.75" customHeight="1">
      <c r="A125" s="2" t="s">
        <v>356</v>
      </c>
      <c r="B125" s="2" t="s">
        <v>1259</v>
      </c>
      <c r="C125" s="2" t="s">
        <v>1260</v>
      </c>
      <c r="D125" s="2" t="s">
        <v>1259</v>
      </c>
      <c r="E125" s="2" t="s">
        <v>1259</v>
      </c>
      <c r="F125" s="2" t="s">
        <v>38</v>
      </c>
      <c r="G125" s="2" t="s">
        <v>52</v>
      </c>
      <c r="H125" s="2" t="s">
        <v>1256</v>
      </c>
      <c r="I125" s="2" t="s">
        <v>41</v>
      </c>
      <c r="J125" s="2" t="s">
        <v>1257</v>
      </c>
      <c r="K125" s="9" t="str">
        <f>IF(H125="", "", IF(ISNUMBER(_xlfn.XMATCH(H125, 'Viks State Rollup Sheet'!G:G)), "Found in Rollup", "MISSING in Rollup"))</f>
        <v>Found in Rollup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ht="15.75" customHeight="1">
      <c r="A126" s="2" t="s">
        <v>356</v>
      </c>
      <c r="B126" s="2" t="s">
        <v>1264</v>
      </c>
      <c r="C126" s="2" t="s">
        <v>1260</v>
      </c>
      <c r="D126" s="2" t="s">
        <v>1264</v>
      </c>
      <c r="E126" s="2" t="s">
        <v>1264</v>
      </c>
      <c r="F126" s="2" t="s">
        <v>38</v>
      </c>
      <c r="G126" s="2" t="s">
        <v>52</v>
      </c>
      <c r="H126" s="2" t="s">
        <v>1256</v>
      </c>
      <c r="I126" s="2" t="s">
        <v>41</v>
      </c>
      <c r="J126" s="2" t="s">
        <v>1257</v>
      </c>
      <c r="K126" s="9" t="str">
        <f>IF(H126="", "", IF(ISNUMBER(_xlfn.XMATCH(H126, 'Viks State Rollup Sheet'!G:G)), "Found in Rollup", "MISSING in Rollup"))</f>
        <v>Found in Rollup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ht="15.75" customHeight="1">
      <c r="A127" s="2" t="s">
        <v>356</v>
      </c>
      <c r="B127" s="2" t="s">
        <v>1267</v>
      </c>
      <c r="C127" s="2" t="s">
        <v>1268</v>
      </c>
      <c r="D127" s="2" t="s">
        <v>1267</v>
      </c>
      <c r="E127" s="2" t="s">
        <v>1267</v>
      </c>
      <c r="F127" s="2" t="s">
        <v>38</v>
      </c>
      <c r="G127" s="2" t="s">
        <v>52</v>
      </c>
      <c r="H127" s="2" t="s">
        <v>1256</v>
      </c>
      <c r="I127" s="2" t="s">
        <v>41</v>
      </c>
      <c r="J127" s="2" t="s">
        <v>1257</v>
      </c>
      <c r="K127" s="9" t="str">
        <f>IF(H127="", "", IF(ISNUMBER(_xlfn.XMATCH(H127, 'Viks State Rollup Sheet'!G:G)), "Found in Rollup", "MISSING in Rollup"))</f>
        <v>Found in Rollup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ht="15.75" customHeight="1">
      <c r="A128" s="2" t="s">
        <v>356</v>
      </c>
      <c r="B128" s="2" t="s">
        <v>1274</v>
      </c>
      <c r="C128" s="2" t="s">
        <v>1275</v>
      </c>
      <c r="D128" s="12" t="str">
        <f>IFERROR(__xludf.DUMMYFUNCTION("REGEXEXTRACT(E128, ""^(?:https?:\/\/)?(?:www\.)?([^\/]+)"")"),"dem.utah.gov")</f>
        <v>dem.utah.gov</v>
      </c>
      <c r="E128" s="2" t="s">
        <v>1278</v>
      </c>
      <c r="F128" s="2" t="s">
        <v>38</v>
      </c>
      <c r="G128" s="2" t="s">
        <v>1280</v>
      </c>
      <c r="H128" s="2" t="s">
        <v>1281</v>
      </c>
      <c r="I128" s="2" t="s">
        <v>41</v>
      </c>
      <c r="J128" s="2" t="s">
        <v>1283</v>
      </c>
      <c r="K128" s="9" t="str">
        <f>IF(H128="", "", IF(ISNUMBER(_xlfn.XMATCH(H128, 'Viks State Rollup Sheet'!G:G)), "Found in Rollup", "MISSING in Rollup"))</f>
        <v>MISSING in Rollup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ht="15.75" customHeight="1">
      <c r="A129" s="2" t="s">
        <v>356</v>
      </c>
      <c r="B129" s="2" t="s">
        <v>1287</v>
      </c>
      <c r="C129" s="2" t="s">
        <v>1288</v>
      </c>
      <c r="D129" s="12" t="str">
        <f>IFERROR(__xludf.DUMMYFUNCTION("REGEXEXTRACT(E129, ""^(?:https?:\/\/)?(?:www\.)?([^\/]+)"")"),"floodhazards.utah.gov")</f>
        <v>floodhazards.utah.gov</v>
      </c>
      <c r="E129" s="2" t="s">
        <v>482</v>
      </c>
      <c r="F129" s="2" t="s">
        <v>38</v>
      </c>
      <c r="G129" s="2" t="s">
        <v>1291</v>
      </c>
      <c r="H129" s="2" t="s">
        <v>488</v>
      </c>
      <c r="I129" s="2" t="s">
        <v>41</v>
      </c>
      <c r="J129" s="2" t="s">
        <v>480</v>
      </c>
      <c r="K129" s="9" t="str">
        <f>IF(H129="", "", IF(ISNUMBER(_xlfn.XMATCH(H129, 'Viks State Rollup Sheet'!G:G)), "Found in Rollup", "MISSING in Rollup"))</f>
        <v>Found in Rollup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ht="15.75" customHeight="1">
      <c r="A130" s="2" t="s">
        <v>356</v>
      </c>
      <c r="B130" s="2" t="s">
        <v>1296</v>
      </c>
      <c r="C130" s="2" t="s">
        <v>1297</v>
      </c>
      <c r="D130" s="12" t="str">
        <f>IFERROR(__xludf.DUMMYFUNCTION("REGEXEXTRACT(E130, ""^(?:https?:\/\/)?(?:www\.)?([^\/]+)"")"),"dld.utah.gov")</f>
        <v>dld.utah.gov</v>
      </c>
      <c r="E130" s="2" t="s">
        <v>1300</v>
      </c>
      <c r="F130" s="2" t="s">
        <v>38</v>
      </c>
      <c r="G130" s="2" t="s">
        <v>1302</v>
      </c>
      <c r="H130" s="2" t="s">
        <v>1303</v>
      </c>
      <c r="I130" s="2" t="s">
        <v>41</v>
      </c>
      <c r="J130" s="2" t="s">
        <v>1305</v>
      </c>
      <c r="K130" s="9" t="str">
        <f>IF(H130="", "", IF(ISNUMBER(_xlfn.XMATCH(H130, 'Viks State Rollup Sheet'!G:G)), "Found in Rollup", "MISSING in Rollup"))</f>
        <v>Found in Rollup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ht="15.75" customHeight="1">
      <c r="A131" s="2" t="s">
        <v>356</v>
      </c>
      <c r="B131" s="2" t="s">
        <v>1309</v>
      </c>
      <c r="C131" s="2" t="s">
        <v>1311</v>
      </c>
      <c r="D131" s="2" t="s">
        <v>1309</v>
      </c>
      <c r="E131" s="2" t="s">
        <v>1309</v>
      </c>
      <c r="F131" s="2" t="s">
        <v>38</v>
      </c>
      <c r="G131" s="2" t="s">
        <v>217</v>
      </c>
      <c r="H131" s="2" t="s">
        <v>1312</v>
      </c>
      <c r="I131" s="2" t="s">
        <v>41</v>
      </c>
      <c r="J131" s="2" t="s">
        <v>1314</v>
      </c>
      <c r="K131" s="9" t="str">
        <f>IF(H131="", "", IF(ISNUMBER(_xlfn.XMATCH(H131, 'Viks State Rollup Sheet'!G:G)), "Found in Rollup", "MISSING in Rollup"))</f>
        <v>MISSING in Rollup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ht="15.75" customHeight="1">
      <c r="A132" s="2" t="s">
        <v>356</v>
      </c>
      <c r="B132" s="2" t="s">
        <v>1315</v>
      </c>
      <c r="C132" s="2" t="s">
        <v>1316</v>
      </c>
      <c r="D132" s="12" t="str">
        <f>IFERROR(__xludf.DUMMYFUNCTION("REGEXEXTRACT(E132, ""^(?:https?:\/\/)?(?:www\.)?([^\/]+)"")"),"firemarshal.utah.gov")</f>
        <v>firemarshal.utah.gov</v>
      </c>
      <c r="E132" s="2" t="s">
        <v>1317</v>
      </c>
      <c r="F132" s="2" t="s">
        <v>38</v>
      </c>
      <c r="G132" s="2" t="s">
        <v>1318</v>
      </c>
      <c r="H132" s="2" t="s">
        <v>1320</v>
      </c>
      <c r="I132" s="2" t="s">
        <v>41</v>
      </c>
      <c r="J132" s="2" t="s">
        <v>1321</v>
      </c>
      <c r="K132" s="9" t="str">
        <f>IF(H132="", "", IF(ISNUMBER(_xlfn.XMATCH(H132, 'Viks State Rollup Sheet'!G:G)), "Found in Rollup", "MISSING in Rollup"))</f>
        <v>Found in Rollup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ht="15.75" customHeight="1">
      <c r="A133" s="2" t="s">
        <v>356</v>
      </c>
      <c r="B133" s="2" t="s">
        <v>1324</v>
      </c>
      <c r="C133" s="2" t="s">
        <v>1325</v>
      </c>
      <c r="D133" s="12" t="str">
        <f>IFERROR(__xludf.DUMMYFUNCTION("REGEXEXTRACT(E133, ""^(?:https?:\/\/)?(?:www\.)?([^\/]+)"")"),"forensicservices.utah.gov")</f>
        <v>forensicservices.utah.gov</v>
      </c>
      <c r="E133" s="2" t="s">
        <v>1326</v>
      </c>
      <c r="F133" s="2" t="s">
        <v>38</v>
      </c>
      <c r="G133" s="2" t="s">
        <v>1327</v>
      </c>
      <c r="H133" s="2" t="s">
        <v>1328</v>
      </c>
      <c r="I133" s="2" t="s">
        <v>41</v>
      </c>
      <c r="J133" s="2" t="s">
        <v>1330</v>
      </c>
      <c r="K133" s="9" t="str">
        <f>IF(H133="", "", IF(ISNUMBER(_xlfn.XMATCH(H133, 'Viks State Rollup Sheet'!G:G)), "Found in Rollup", "MISSING in Rollup"))</f>
        <v>MISSING in Rollup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ht="15.75" customHeight="1">
      <c r="A134" s="2" t="s">
        <v>356</v>
      </c>
      <c r="B134" s="2" t="s">
        <v>1338</v>
      </c>
      <c r="C134" s="2" t="s">
        <v>1339</v>
      </c>
      <c r="D134" s="12" t="str">
        <f>IFERROR(__xludf.DUMMYFUNCTION("REGEXEXTRACT(E134, ""^(?:https?:\/\/)?(?:www\.)?([^\/]+)"")"),"escooters.utah.gov")</f>
        <v>escooters.utah.gov</v>
      </c>
      <c r="E134" s="2" t="s">
        <v>1343</v>
      </c>
      <c r="F134" s="2" t="s">
        <v>38</v>
      </c>
      <c r="G134" s="2" t="s">
        <v>1345</v>
      </c>
      <c r="H134" s="2" t="s">
        <v>1346</v>
      </c>
      <c r="I134" s="2" t="s">
        <v>41</v>
      </c>
      <c r="J134" s="2" t="s">
        <v>1348</v>
      </c>
      <c r="K134" s="9" t="str">
        <f>IF(H134="", "", IF(ISNUMBER(_xlfn.XMATCH(H134, 'Viks State Rollup Sheet'!G:G)), "Found in Rollup", "MISSING in Rollup"))</f>
        <v>Found in Rollup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ht="15.75" customHeight="1">
      <c r="A135" s="2" t="s">
        <v>356</v>
      </c>
      <c r="B135" s="2" t="s">
        <v>1352</v>
      </c>
      <c r="C135" s="2" t="s">
        <v>1353</v>
      </c>
      <c r="D135" s="12" t="str">
        <f>IFERROR(__xludf.DUMMYFUNCTION("REGEXEXTRACT(E135, ""^(?:https?:\/\/)?(?:www\.)?([^\/]+)"")"),"highwaysafety.utah.gov")</f>
        <v>highwaysafety.utah.gov</v>
      </c>
      <c r="E135" s="2" t="s">
        <v>1358</v>
      </c>
      <c r="F135" s="2" t="s">
        <v>38</v>
      </c>
      <c r="G135" s="2" t="s">
        <v>1345</v>
      </c>
      <c r="H135" s="2" t="s">
        <v>1346</v>
      </c>
      <c r="I135" s="2" t="s">
        <v>41</v>
      </c>
      <c r="J135" s="2" t="s">
        <v>1348</v>
      </c>
      <c r="K135" s="9" t="str">
        <f>IF(H135="", "", IF(ISNUMBER(_xlfn.XMATCH(H135, 'Viks State Rollup Sheet'!G:G)), "Found in Rollup", "MISSING in Rollup"))</f>
        <v>Found in Rollup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ht="15.75" customHeight="1">
      <c r="A136" s="2" t="s">
        <v>356</v>
      </c>
      <c r="B136" s="2" t="s">
        <v>1362</v>
      </c>
      <c r="C136" s="2" t="s">
        <v>1363</v>
      </c>
      <c r="D136" s="12" t="str">
        <f>IFERROR(__xludf.DUMMYFUNCTION("REGEXEXTRACT(E136, ""^(?:https?:\/\/)?(?:www\.)?([^\/]+)"")"),"dps.utah.gov")</f>
        <v>dps.utah.gov</v>
      </c>
      <c r="E136" s="2" t="s">
        <v>1364</v>
      </c>
      <c r="F136" s="2" t="s">
        <v>38</v>
      </c>
      <c r="G136" s="2" t="s">
        <v>1366</v>
      </c>
      <c r="H136" s="2" t="s">
        <v>1367</v>
      </c>
      <c r="I136" s="2" t="s">
        <v>41</v>
      </c>
      <c r="J136" s="2" t="s">
        <v>1369</v>
      </c>
      <c r="K136" s="9" t="str">
        <f>IF(H136="", "", IF(ISNUMBER(_xlfn.XMATCH(H136, 'Viks State Rollup Sheet'!G:G)), "Found in Rollup", "MISSING in Rollup"))</f>
        <v>Found in Rollup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ht="15.75" customHeight="1">
      <c r="A137" s="2" t="s">
        <v>356</v>
      </c>
      <c r="B137" s="2" t="s">
        <v>1372</v>
      </c>
      <c r="C137" s="2" t="s">
        <v>1373</v>
      </c>
      <c r="D137" s="12" t="str">
        <f>IFERROR(__xludf.DUMMYFUNCTION("REGEXEXTRACT(E137, ""^(?:https?:\/\/)?(?:www\.)?([^\/]+)"")"),"dpsnews.utah.gov")</f>
        <v>dpsnews.utah.gov</v>
      </c>
      <c r="E137" s="2" t="s">
        <v>1375</v>
      </c>
      <c r="F137" s="2" t="s">
        <v>38</v>
      </c>
      <c r="G137" s="2" t="s">
        <v>1366</v>
      </c>
      <c r="H137" s="2" t="s">
        <v>1367</v>
      </c>
      <c r="I137" s="2" t="s">
        <v>41</v>
      </c>
      <c r="J137" s="2" t="s">
        <v>1369</v>
      </c>
      <c r="K137" s="9" t="str">
        <f>IF(H137="", "", IF(ISNUMBER(_xlfn.XMATCH(H137, 'Viks State Rollup Sheet'!G:G)), "Found in Rollup", "MISSING in Rollup"))</f>
        <v>Found in Rollup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ht="15.75" customHeight="1">
      <c r="A138" s="2" t="s">
        <v>356</v>
      </c>
      <c r="B138" s="2" t="s">
        <v>1381</v>
      </c>
      <c r="C138" s="2" t="s">
        <v>1382</v>
      </c>
      <c r="D138" s="2" t="s">
        <v>1381</v>
      </c>
      <c r="E138" s="2" t="s">
        <v>1381</v>
      </c>
      <c r="F138" s="2" t="s">
        <v>38</v>
      </c>
      <c r="G138" s="2" t="s">
        <v>52</v>
      </c>
      <c r="H138" s="2" t="s">
        <v>698</v>
      </c>
      <c r="I138" s="2" t="s">
        <v>41</v>
      </c>
      <c r="J138" s="2" t="s">
        <v>690</v>
      </c>
      <c r="K138" s="9" t="str">
        <f>IF(H138="", "", IF(ISNUMBER(_xlfn.XMATCH(H138, 'Viks State Rollup Sheet'!G:G)), "Found in Rollup", "MISSING in Rollup"))</f>
        <v>Found in Rollup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ht="15.75" customHeight="1">
      <c r="A139" s="2" t="s">
        <v>356</v>
      </c>
      <c r="B139" s="2" t="s">
        <v>1391</v>
      </c>
      <c r="C139" s="2" t="s">
        <v>1392</v>
      </c>
      <c r="D139" s="12" t="str">
        <f>IFERROR(__xludf.DUMMYFUNCTION("REGEXEXTRACT(E139, ""^(?:https?:\/\/)?(?:www\.)?([^\/]+)"")"),"siac.utah.gov")</f>
        <v>siac.utah.gov</v>
      </c>
      <c r="E139" s="2" t="s">
        <v>1394</v>
      </c>
      <c r="F139" s="2" t="s">
        <v>38</v>
      </c>
      <c r="G139" s="2" t="s">
        <v>52</v>
      </c>
      <c r="H139" s="2" t="s">
        <v>1397</v>
      </c>
      <c r="I139" s="2" t="s">
        <v>41</v>
      </c>
      <c r="J139" s="2" t="s">
        <v>1398</v>
      </c>
      <c r="K139" s="9" t="str">
        <f>IF(H139="", "", IF(ISNUMBER(_xlfn.XMATCH(H139, 'Viks State Rollup Sheet'!G:G)), "Found in Rollup", "MISSING in Rollup"))</f>
        <v>Found in Rollup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ht="15.75" customHeight="1">
      <c r="A140" s="2" t="s">
        <v>356</v>
      </c>
      <c r="B140" s="2" t="s">
        <v>1402</v>
      </c>
      <c r="C140" s="2" t="s">
        <v>1403</v>
      </c>
      <c r="D140" s="12" t="str">
        <f>IFERROR(__xludf.DUMMYFUNCTION("REGEXEXTRACT(E140, ""^(?:https?:\/\/)?(?:www\.)?([^\/]+)"")"),"joinuhp.utah.gov")</f>
        <v>joinuhp.utah.gov</v>
      </c>
      <c r="E140" s="2" t="s">
        <v>663</v>
      </c>
      <c r="F140" s="2" t="s">
        <v>38</v>
      </c>
      <c r="G140" s="2" t="s">
        <v>1406</v>
      </c>
      <c r="H140" s="2" t="s">
        <v>672</v>
      </c>
      <c r="I140" s="2" t="s">
        <v>41</v>
      </c>
      <c r="J140" s="2" t="s">
        <v>661</v>
      </c>
      <c r="K140" s="9" t="str">
        <f>IF(H140="", "", IF(ISNUMBER(_xlfn.XMATCH(H140, 'Viks State Rollup Sheet'!G:G)), "Found in Rollup", "MISSING in Rollup"))</f>
        <v>Found in Rollup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ht="15.75" customHeight="1">
      <c r="A141" s="2" t="s">
        <v>356</v>
      </c>
      <c r="B141" s="2" t="s">
        <v>1408</v>
      </c>
      <c r="C141" s="2" t="s">
        <v>1409</v>
      </c>
      <c r="D141" s="12" t="str">
        <f>IFERROR(__xludf.DUMMYFUNCTION("REGEXEXTRACT(E141, ""^(?:https?:\/\/)?(?:www\.)?([^\/]+)"")"),"highwaypatrol.utah.gov")</f>
        <v>highwaypatrol.utah.gov</v>
      </c>
      <c r="E141" s="2" t="s">
        <v>1411</v>
      </c>
      <c r="F141" s="2" t="s">
        <v>38</v>
      </c>
      <c r="G141" s="2" t="s">
        <v>1412</v>
      </c>
      <c r="H141" s="2" t="s">
        <v>1413</v>
      </c>
      <c r="I141" s="2" t="s">
        <v>41</v>
      </c>
      <c r="J141" s="2" t="s">
        <v>1414</v>
      </c>
      <c r="K141" s="9" t="str">
        <f>IF(H141="", "", IF(ISNUMBER(_xlfn.XMATCH(H141, 'Viks State Rollup Sheet'!G:G)), "Found in Rollup", "MISSING in Rollup"))</f>
        <v>MISSING in Rollup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ht="15.75" customHeight="1">
      <c r="A142" s="2" t="s">
        <v>1417</v>
      </c>
      <c r="B142" s="2" t="s">
        <v>1229</v>
      </c>
      <c r="C142" s="2" t="s">
        <v>1418</v>
      </c>
      <c r="D142" s="12" t="str">
        <f>IFERROR(__xludf.DUMMYFUNCTION("REGEXEXTRACT(E142, ""^(?:https?:\/\/)?(?:www\.)?([^\/]+)"")"),"business.utah.gov")</f>
        <v>business.utah.gov</v>
      </c>
      <c r="E142" s="2" t="s">
        <v>1231</v>
      </c>
      <c r="F142" s="2" t="s">
        <v>38</v>
      </c>
      <c r="G142" s="2" t="s">
        <v>52</v>
      </c>
      <c r="H142" s="2" t="s">
        <v>1237</v>
      </c>
      <c r="I142" s="2" t="s">
        <v>41</v>
      </c>
      <c r="J142" s="2" t="s">
        <v>1227</v>
      </c>
      <c r="K142" s="9" t="str">
        <f>IF(H142="", "", IF(ISNUMBER(_xlfn.XMATCH(H142, 'Viks State Rollup Sheet'!G:G)), "Found in Rollup", "MISSING in Rollup"))</f>
        <v>Found in Rollup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ht="15.75" customHeight="1">
      <c r="A143" s="2" t="s">
        <v>1417</v>
      </c>
      <c r="B143" s="2" t="s">
        <v>1421</v>
      </c>
      <c r="C143" s="2" t="s">
        <v>1422</v>
      </c>
      <c r="D143" s="12" t="str">
        <f>IFERROR(__xludf.DUMMYFUNCTION("REGEXEXTRACT(E143, ""^(?:https?:\/\/)?(?:www\.)?([^\/]+)"")"),"inutah.org")</f>
        <v>inutah.org</v>
      </c>
      <c r="E143" s="2" t="s">
        <v>1425</v>
      </c>
      <c r="F143" s="2" t="s">
        <v>38</v>
      </c>
      <c r="G143" s="2" t="s">
        <v>52</v>
      </c>
      <c r="H143" s="2" t="s">
        <v>1237</v>
      </c>
      <c r="I143" s="2" t="s">
        <v>41</v>
      </c>
      <c r="J143" s="2" t="s">
        <v>1227</v>
      </c>
      <c r="K143" s="9" t="str">
        <f>IF(H143="", "", IF(ISNUMBER(_xlfn.XMATCH(H143, 'Viks State Rollup Sheet'!G:G)), "Found in Rollup", "MISSING in Rollup"))</f>
        <v>Found in Rollup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ht="15.75" customHeight="1">
      <c r="A144" s="2" t="s">
        <v>1417</v>
      </c>
      <c r="B144" s="2" t="s">
        <v>1433</v>
      </c>
      <c r="C144" s="2" t="s">
        <v>1434</v>
      </c>
      <c r="D144" s="12" t="str">
        <f>IFERROR(__xludf.DUMMYFUNCTION("REGEXEXTRACT(E144, ""^(?:https?:\/\/)?(?:www\.)?([^\/]+)"")"),"startup.utah.gov")</f>
        <v>startup.utah.gov</v>
      </c>
      <c r="E144" s="2" t="s">
        <v>1438</v>
      </c>
      <c r="F144" s="2" t="s">
        <v>38</v>
      </c>
      <c r="G144" s="2" t="s">
        <v>1439</v>
      </c>
      <c r="H144" s="2" t="s">
        <v>1440</v>
      </c>
      <c r="I144" s="2" t="s">
        <v>41</v>
      </c>
      <c r="J144" s="2" t="s">
        <v>1441</v>
      </c>
      <c r="K144" s="9" t="str">
        <f>IF(H144="", "", IF(ISNUMBER(_xlfn.XMATCH(H144, 'Viks State Rollup Sheet'!G:G)), "Found in Rollup", "MISSING in Rollup"))</f>
        <v>Found in Rollup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ht="15.75" customHeight="1">
      <c r="A145" s="2" t="s">
        <v>1444</v>
      </c>
      <c r="B145" s="2" t="s">
        <v>1445</v>
      </c>
      <c r="C145" s="2" t="s">
        <v>1447</v>
      </c>
      <c r="D145" s="12" t="str">
        <f>IFERROR(__xludf.DUMMYFUNCTION("REGEXEXTRACT(E145, ""^(?:https?:\/\/)?(?:www\.)?([^\/]+)"")"),"gopb.utah.gov")</f>
        <v>gopb.utah.gov</v>
      </c>
      <c r="E145" s="2" t="s">
        <v>1445</v>
      </c>
      <c r="F145" s="2" t="s">
        <v>38</v>
      </c>
      <c r="G145" s="2" t="s">
        <v>52</v>
      </c>
      <c r="H145" s="2" t="s">
        <v>1451</v>
      </c>
      <c r="I145" s="2" t="s">
        <v>41</v>
      </c>
      <c r="J145" s="2" t="s">
        <v>1452</v>
      </c>
      <c r="K145" s="9" t="str">
        <f>IF(H145="", "", IF(ISNUMBER(_xlfn.XMATCH(H145, 'Viks State Rollup Sheet'!G:G)), "Found in Rollup", "MISSING in Rollup"))</f>
        <v>MISSING in Rollup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ht="15.75" customHeight="1">
      <c r="A146" s="2" t="s">
        <v>47</v>
      </c>
      <c r="B146" s="2" t="s">
        <v>1349</v>
      </c>
      <c r="C146" s="2" t="s">
        <v>520</v>
      </c>
      <c r="D146" s="12" t="str">
        <f>IFERROR(__xludf.DUMMYFUNCTION("REGEXEXTRACT(E146, ""^(?:https?:\/\/)?(?:www\.)?([^\/]+)"")"),"cce.my.salesforce-sites.com")</f>
        <v>cce.my.salesforce-sites.com</v>
      </c>
      <c r="E146" s="2" t="s">
        <v>1349</v>
      </c>
      <c r="F146" s="2" t="s">
        <v>38</v>
      </c>
      <c r="G146" s="2" t="s">
        <v>52</v>
      </c>
      <c r="H146" s="2" t="s">
        <v>52</v>
      </c>
      <c r="I146" s="2" t="s">
        <v>221</v>
      </c>
      <c r="J146" s="2" t="s">
        <v>1351</v>
      </c>
      <c r="K146" s="9" t="str">
        <f>IF(H146="", "", IF(ISNUMBER(_xlfn.XMATCH(H146, 'Viks State Rollup Sheet'!G:G)), "Found in Rollup", "MISSING in Rollup"))</f>
        <v>MISSING in Rollup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ht="15.75" customHeight="1">
      <c r="A147" s="2" t="s">
        <v>47</v>
      </c>
      <c r="B147" s="2" t="s">
        <v>1354</v>
      </c>
      <c r="C147" s="2" t="s">
        <v>1356</v>
      </c>
      <c r="D147" s="12" t="str">
        <f>IFERROR(__xludf.DUMMYFUNCTION("REGEXEXTRACT(E147, ""^(?:https?:\/\/)?(?:www\.)?([^\/]+)"")"),"history.utah.gov")</f>
        <v>history.utah.gov</v>
      </c>
      <c r="E147" s="2" t="s">
        <v>1354</v>
      </c>
      <c r="F147" s="2" t="s">
        <v>38</v>
      </c>
      <c r="G147" s="2" t="s">
        <v>1357</v>
      </c>
      <c r="H147" s="2" t="s">
        <v>52</v>
      </c>
      <c r="I147" s="2" t="s">
        <v>221</v>
      </c>
      <c r="J147" s="2" t="s">
        <v>1351</v>
      </c>
      <c r="K147" s="9" t="str">
        <f>IF(H147="", "", IF(ISNUMBER(_xlfn.XMATCH(H147, 'Viks State Rollup Sheet'!G:G)), "Found in Rollup", "MISSING in Rollup"))</f>
        <v>MISSING in Rollup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ht="15.75" customHeight="1">
      <c r="A148" s="18" t="s">
        <v>120</v>
      </c>
      <c r="B148" s="18" t="s">
        <v>1359</v>
      </c>
      <c r="C148" s="18" t="e">
        <v>#N/A</v>
      </c>
      <c r="D148" s="12" t="str">
        <f>IFERROR(__xludf.DUMMYFUNCTION("REGEXEXTRACT(E148, ""^(?:https?:\/\/)?(?:www\.)?([^\/]+)"")"),"idc.utah.gov")</f>
        <v>idc.utah.gov</v>
      </c>
      <c r="E148" s="18" t="s">
        <v>1359</v>
      </c>
      <c r="F148" s="18" t="s">
        <v>151</v>
      </c>
      <c r="G148" s="2" t="s">
        <v>152</v>
      </c>
      <c r="H148" s="2" t="s">
        <v>52</v>
      </c>
      <c r="I148" s="2" t="s">
        <v>221</v>
      </c>
      <c r="J148" s="2" t="s">
        <v>1351</v>
      </c>
      <c r="K148" s="9" t="str">
        <f>IF(H148="", "", IF(ISNUMBER(_xlfn.XMATCH(H148, 'Viks State Rollup Sheet'!G:G)), "Found in Rollup", "MISSING in Rollup"))</f>
        <v>MISSING in Rollup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ht="15.75" customHeight="1">
      <c r="A149" s="22" t="s">
        <v>268</v>
      </c>
      <c r="B149" s="22" t="s">
        <v>1365</v>
      </c>
      <c r="C149" s="22" t="s">
        <v>1365</v>
      </c>
      <c r="D149" s="12" t="str">
        <f>IFERROR(__xludf.DUMMYFUNCTION("REGEXEXTRACT(E149, ""^(?:https?:\/\/)?(?:www\.)?([^\/]+)"")"),"apps.apple.com")</f>
        <v>apps.apple.com</v>
      </c>
      <c r="E149" s="23" t="s">
        <v>1370</v>
      </c>
      <c r="F149" s="22" t="s">
        <v>278</v>
      </c>
      <c r="G149" s="2" t="s">
        <v>52</v>
      </c>
      <c r="H149" s="2" t="s">
        <v>52</v>
      </c>
      <c r="I149" s="2" t="s">
        <v>221</v>
      </c>
      <c r="J149" s="2" t="s">
        <v>1351</v>
      </c>
      <c r="K149" s="9" t="str">
        <f>IF(H149="", "", IF(ISNUMBER(_xlfn.XMATCH(H149, 'Viks State Rollup Sheet'!G:G)), "Found in Rollup", "MISSING in Rollup"))</f>
        <v>MISSING in Rollup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ht="15.75" customHeight="1">
      <c r="A150" s="2" t="s">
        <v>340</v>
      </c>
      <c r="B150" s="2" t="s">
        <v>412</v>
      </c>
      <c r="C150" s="2" t="s">
        <v>1371</v>
      </c>
      <c r="D150" s="12" t="str">
        <f>IFERROR(__xludf.DUMMYFUNCTION("REGEXEXTRACT(E150, ""^(?:https?:\/\/)?(?:www\.)?([^\/]+)"")"),"air.utah.gov")</f>
        <v>air.utah.gov</v>
      </c>
      <c r="E150" s="2" t="s">
        <v>184</v>
      </c>
      <c r="F150" s="2" t="s">
        <v>38</v>
      </c>
      <c r="G150" s="2" t="s">
        <v>52</v>
      </c>
      <c r="H150" s="2" t="s">
        <v>52</v>
      </c>
      <c r="I150" s="2" t="s">
        <v>221</v>
      </c>
      <c r="J150" s="2" t="s">
        <v>1351</v>
      </c>
      <c r="K150" s="9" t="str">
        <f>IF(H150="", "", IF(ISNUMBER(_xlfn.XMATCH(H150, 'Viks State Rollup Sheet'!G:G)), "Found in Rollup", "MISSING in Rollup"))</f>
        <v>MISSING in Rollup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ht="15.75" customHeight="1">
      <c r="A151" s="22" t="s">
        <v>340</v>
      </c>
      <c r="B151" s="22" t="s">
        <v>1378</v>
      </c>
      <c r="C151" s="22" t="s">
        <v>1378</v>
      </c>
      <c r="D151" s="12" t="str">
        <f>IFERROR(__xludf.DUMMYFUNCTION("REGEXEXTRACT(E151, ""^(?:https?:\/\/)?(?:www\.)?([^\/]+)"")"),"lf-public.deq.utah.gov")</f>
        <v>lf-public.deq.utah.gov</v>
      </c>
      <c r="E151" s="23" t="s">
        <v>1380</v>
      </c>
      <c r="F151" s="22" t="s">
        <v>278</v>
      </c>
      <c r="G151" s="2" t="s">
        <v>52</v>
      </c>
      <c r="H151" s="2" t="s">
        <v>52</v>
      </c>
      <c r="I151" s="2" t="s">
        <v>221</v>
      </c>
      <c r="J151" s="2" t="s">
        <v>1351</v>
      </c>
      <c r="K151" s="9" t="str">
        <f>IF(H151="", "", IF(ISNUMBER(_xlfn.XMATCH(H151, 'Viks State Rollup Sheet'!G:G)), "Found in Rollup", "MISSING in Rollup"))</f>
        <v>MISSING in Rollup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ht="15.75" customHeight="1">
      <c r="A152" s="2" t="s">
        <v>340</v>
      </c>
      <c r="B152" s="2" t="s">
        <v>1384</v>
      </c>
      <c r="C152" s="2" t="s">
        <v>1385</v>
      </c>
      <c r="D152" s="12" t="str">
        <f>IFERROR(__xludf.DUMMYFUNCTION("REGEXEXTRACT(E152, ""^(?:https?:\/\/)?(?:www\.)?([^\/]+)"")"),"lf-public.deq.utah.gov")</f>
        <v>lf-public.deq.utah.gov</v>
      </c>
      <c r="E152" s="2" t="s">
        <v>1386</v>
      </c>
      <c r="F152" s="2" t="s">
        <v>38</v>
      </c>
      <c r="G152" s="2" t="s">
        <v>52</v>
      </c>
      <c r="H152" s="2" t="s">
        <v>52</v>
      </c>
      <c r="I152" s="2" t="s">
        <v>221</v>
      </c>
      <c r="J152" s="2" t="s">
        <v>1351</v>
      </c>
      <c r="K152" s="9" t="str">
        <f>IF(H152="", "", IF(ISNUMBER(_xlfn.XMATCH(H152, 'Viks State Rollup Sheet'!G:G)), "Found in Rollup", "MISSING in Rollup"))</f>
        <v>MISSING in Rollup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ht="15.75" customHeight="1">
      <c r="A153" s="2" t="s">
        <v>340</v>
      </c>
      <c r="B153" s="2" t="s">
        <v>1387</v>
      </c>
      <c r="C153" s="2" t="s">
        <v>1388</v>
      </c>
      <c r="D153" s="12" t="str">
        <f>IFERROR(__xludf.DUMMYFUNCTION("REGEXEXTRACT(E153, ""^(?:https?:\/\/)?(?:www\.)?([^\/]+)"")"),"waterlink.utah.gov")</f>
        <v>waterlink.utah.gov</v>
      </c>
      <c r="E153" s="2" t="s">
        <v>1390</v>
      </c>
      <c r="F153" s="2" t="s">
        <v>38</v>
      </c>
      <c r="G153" s="2" t="s">
        <v>52</v>
      </c>
      <c r="H153" s="2" t="s">
        <v>52</v>
      </c>
      <c r="I153" s="2" t="s">
        <v>221</v>
      </c>
      <c r="J153" s="2" t="s">
        <v>1351</v>
      </c>
      <c r="K153" s="9" t="str">
        <f>IF(H153="", "", IF(ISNUMBER(_xlfn.XMATCH(H153, 'Viks State Rollup Sheet'!G:G)), "Found in Rollup", "MISSING in Rollup"))</f>
        <v>MISSING in Rollup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ht="15.75" customHeight="1">
      <c r="A154" s="18" t="s">
        <v>547</v>
      </c>
      <c r="B154" s="18" t="s">
        <v>1393</v>
      </c>
      <c r="C154" s="18" t="e">
        <v>#N/A</v>
      </c>
      <c r="D154" s="12" t="str">
        <f>IFERROR(__xludf.DUMMYFUNCTION("REGEXEXTRACT(E154, ""^(?:https?:\/\/)?(?:www\.)?([^\/]+)"")"),"concursolutions.com")</f>
        <v>concursolutions.com</v>
      </c>
      <c r="E154" s="18" t="s">
        <v>1396</v>
      </c>
      <c r="F154" s="18" t="s">
        <v>151</v>
      </c>
      <c r="G154" s="2" t="s">
        <v>152</v>
      </c>
      <c r="H154" s="2" t="s">
        <v>52</v>
      </c>
      <c r="I154" s="2" t="s">
        <v>221</v>
      </c>
      <c r="J154" s="2" t="s">
        <v>1351</v>
      </c>
      <c r="K154" s="9" t="str">
        <f>IF(H154="", "", IF(ISNUMBER(_xlfn.XMATCH(H154, 'Viks State Rollup Sheet'!G:G)), "Found in Rollup", "MISSING in Rollup"))</f>
        <v>MISSING in Rollup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ht="15.75" customHeight="1">
      <c r="A155" s="2" t="s">
        <v>547</v>
      </c>
      <c r="B155" s="2" t="s">
        <v>1399</v>
      </c>
      <c r="C155" s="2" t="s">
        <v>1400</v>
      </c>
      <c r="D155" s="12" t="str">
        <f>IFERROR(__xludf.DUMMYFUNCTION("REGEXEXTRACT(E155, ""^(?:https?:\/\/)?(?:www\.)?([^\/]+)"")"),"employee.utah.gov")</f>
        <v>employee.utah.gov</v>
      </c>
      <c r="E155" s="2" t="s">
        <v>1401</v>
      </c>
      <c r="F155" s="2" t="s">
        <v>38</v>
      </c>
      <c r="G155" s="2" t="s">
        <v>52</v>
      </c>
      <c r="H155" s="2" t="s">
        <v>52</v>
      </c>
      <c r="I155" s="2" t="s">
        <v>221</v>
      </c>
      <c r="J155" s="2" t="s">
        <v>1351</v>
      </c>
      <c r="K155" s="9" t="str">
        <f>IF(H155="", "", IF(ISNUMBER(_xlfn.XMATCH(H155, 'Viks State Rollup Sheet'!G:G)), "Found in Rollup", "MISSING in Rollup"))</f>
        <v>MISSING in Rollup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ht="15.75" customHeight="1">
      <c r="A156" s="18" t="s">
        <v>547</v>
      </c>
      <c r="B156" s="18" t="s">
        <v>1404</v>
      </c>
      <c r="C156" s="18" t="e">
        <v>#N/A</v>
      </c>
      <c r="D156" s="12" t="str">
        <f>IFERROR(__xludf.DUMMYFUNCTION("REGEXEXTRACT(E156, ""^(?:https?:\/\/)?(?:www\.)?([^\/]+)"")"),"financesupport.utah.gov")</f>
        <v>financesupport.utah.gov</v>
      </c>
      <c r="E156" s="18" t="s">
        <v>1407</v>
      </c>
      <c r="F156" s="18" t="s">
        <v>151</v>
      </c>
      <c r="G156" s="2" t="s">
        <v>152</v>
      </c>
      <c r="H156" s="2" t="s">
        <v>52</v>
      </c>
      <c r="I156" s="2" t="s">
        <v>221</v>
      </c>
      <c r="J156" s="2" t="s">
        <v>1351</v>
      </c>
      <c r="K156" s="9" t="str">
        <f>IF(H156="", "", IF(ISNUMBER(_xlfn.XMATCH(H156, 'Viks State Rollup Sheet'!G:G)), "Found in Rollup", "MISSING in Rollup"))</f>
        <v>MISSING in Rollup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ht="15.75" customHeight="1">
      <c r="A157" s="2" t="s">
        <v>547</v>
      </c>
      <c r="B157" s="2" t="s">
        <v>603</v>
      </c>
      <c r="C157" s="2" t="s">
        <v>1400</v>
      </c>
      <c r="D157" s="12" t="str">
        <f>IFERROR(__xludf.DUMMYFUNCTION("REGEXEXTRACT(E157, ""^(?:https?:\/\/)?(?:www\.)?([^\/]+)"")"),"gateway.utah.gov")</f>
        <v>gateway.utah.gov</v>
      </c>
      <c r="E157" s="2" t="s">
        <v>604</v>
      </c>
      <c r="F157" s="2" t="s">
        <v>38</v>
      </c>
      <c r="G157" s="2" t="s">
        <v>52</v>
      </c>
      <c r="H157" s="2" t="s">
        <v>52</v>
      </c>
      <c r="I157" s="2" t="s">
        <v>221</v>
      </c>
      <c r="J157" s="2" t="s">
        <v>1351</v>
      </c>
      <c r="K157" s="9" t="str">
        <f>IF(H157="", "", IF(ISNUMBER(_xlfn.XMATCH(H157, 'Viks State Rollup Sheet'!G:G)), "Found in Rollup", "MISSING in Rollup"))</f>
        <v>MISSING in Rollup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ht="15.75" customHeight="1">
      <c r="A158" s="22" t="s">
        <v>547</v>
      </c>
      <c r="B158" s="22" t="s">
        <v>1498</v>
      </c>
      <c r="C158" s="22" t="s">
        <v>1498</v>
      </c>
      <c r="D158" s="12" t="str">
        <f>IFERROR(__xludf.DUMMYFUNCTION("REGEXEXTRACT(E158, ""^(?:https?:\/\/)?(?:www\.)?([^\/]+)"")"),"workspaces.dts.utah.gov")</f>
        <v>workspaces.dts.utah.gov</v>
      </c>
      <c r="E158" s="23" t="s">
        <v>1500</v>
      </c>
      <c r="F158" s="22" t="s">
        <v>278</v>
      </c>
      <c r="G158" s="2" t="s">
        <v>52</v>
      </c>
      <c r="H158" s="2" t="s">
        <v>52</v>
      </c>
      <c r="I158" s="2" t="s">
        <v>221</v>
      </c>
      <c r="J158" s="2" t="s">
        <v>1351</v>
      </c>
      <c r="K158" s="9" t="str">
        <f>IF(H158="", "", IF(ISNUMBER(_xlfn.XMATCH(H158, 'Viks State Rollup Sheet'!G:G)), "Found in Rollup", "MISSING in Rollup"))</f>
        <v>MISSING in Rollup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ht="15.75" customHeight="1">
      <c r="A159" s="2" t="s">
        <v>696</v>
      </c>
      <c r="B159" s="2" t="s">
        <v>870</v>
      </c>
      <c r="C159" s="2" t="s">
        <v>1501</v>
      </c>
      <c r="D159" s="12" t="str">
        <f>IFERROR(__xludf.DUMMYFUNCTION("REGEXEXTRACT(E159, ""^(?:https?:\/\/)?(?:www\.)?([^\/]+)"")"),"adolescenthealth.utah.gov")</f>
        <v>adolescenthealth.utah.gov</v>
      </c>
      <c r="E159" s="2" t="s">
        <v>871</v>
      </c>
      <c r="F159" s="2" t="s">
        <v>38</v>
      </c>
      <c r="G159" s="2" t="s">
        <v>1502</v>
      </c>
      <c r="H159" s="2" t="s">
        <v>52</v>
      </c>
      <c r="I159" s="2" t="s">
        <v>221</v>
      </c>
      <c r="J159" s="2" t="s">
        <v>1351</v>
      </c>
      <c r="K159" s="9" t="str">
        <f>IF(H159="", "", IF(ISNUMBER(_xlfn.XMATCH(H159, 'Viks State Rollup Sheet'!G:G)), "Found in Rollup", "MISSING in Rollup"))</f>
        <v>MISSING in Rollup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ht="15.75" customHeight="1">
      <c r="A160" s="2" t="s">
        <v>696</v>
      </c>
      <c r="B160" s="2" t="s">
        <v>607</v>
      </c>
      <c r="C160" s="2" t="s">
        <v>1503</v>
      </c>
      <c r="D160" s="12" t="str">
        <f>IFERROR(__xludf.DUMMYFUNCTION("REGEXEXTRACT(E160, ""^(?:https?:\/\/)?(?:www\.)?([^\/]+)"")"),"appletree.utah.gov")</f>
        <v>appletree.utah.gov</v>
      </c>
      <c r="E160" s="2" t="s">
        <v>613</v>
      </c>
      <c r="F160" s="2" t="s">
        <v>38</v>
      </c>
      <c r="G160" s="2" t="s">
        <v>1504</v>
      </c>
      <c r="H160" s="2" t="s">
        <v>52</v>
      </c>
      <c r="I160" s="2" t="s">
        <v>221</v>
      </c>
      <c r="J160" s="2" t="s">
        <v>1351</v>
      </c>
      <c r="K160" s="9" t="str">
        <f>IF(H160="", "", IF(ISNUMBER(_xlfn.XMATCH(H160, 'Viks State Rollup Sheet'!G:G)), "Found in Rollup", "MISSING in Rollup"))</f>
        <v>MISSING in Rollup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ht="15.75" customHeight="1">
      <c r="A161" s="2" t="s">
        <v>696</v>
      </c>
      <c r="B161" s="2" t="s">
        <v>934</v>
      </c>
      <c r="C161" s="2" t="s">
        <v>1505</v>
      </c>
      <c r="D161" s="12" t="str">
        <f>IFERROR(__xludf.DUMMYFUNCTION("REGEXEXTRACT(E161, ""^(?:https?:\/\/)?(?:www\.)?([^\/]+)"")"),"asthma.utah.gov")</f>
        <v>asthma.utah.gov</v>
      </c>
      <c r="E161" s="2" t="s">
        <v>935</v>
      </c>
      <c r="F161" s="2" t="s">
        <v>38</v>
      </c>
      <c r="G161" s="2" t="s">
        <v>1506</v>
      </c>
      <c r="H161" s="2" t="s">
        <v>52</v>
      </c>
      <c r="I161" s="2" t="s">
        <v>221</v>
      </c>
      <c r="J161" s="2" t="s">
        <v>1351</v>
      </c>
      <c r="K161" s="9" t="str">
        <f>IF(H161="", "", IF(ISNUMBER(_xlfn.XMATCH(H161, 'Viks State Rollup Sheet'!G:G)), "Found in Rollup", "MISSING in Rollup"))</f>
        <v>MISSING in Rollup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ht="15.75" customHeight="1">
      <c r="A162" s="2" t="s">
        <v>696</v>
      </c>
      <c r="B162" s="2" t="s">
        <v>1507</v>
      </c>
      <c r="C162" s="2" t="s">
        <v>1508</v>
      </c>
      <c r="D162" s="12" t="str">
        <f>IFERROR(__xludf.DUMMYFUNCTION("REGEXEXTRACT(E162, ""^(?:https?:\/\/)?(?:www\.)?([^\/]+)"")"),"childcarelicensing.utah.gov")</f>
        <v>childcarelicensing.utah.gov</v>
      </c>
      <c r="E162" s="2" t="s">
        <v>1244</v>
      </c>
      <c r="F162" s="2" t="s">
        <v>38</v>
      </c>
      <c r="G162" s="2" t="s">
        <v>1509</v>
      </c>
      <c r="H162" s="2" t="s">
        <v>52</v>
      </c>
      <c r="I162" s="2" t="s">
        <v>221</v>
      </c>
      <c r="J162" s="2" t="s">
        <v>1351</v>
      </c>
      <c r="K162" s="9" t="str">
        <f>IF(H162="", "", IF(ISNUMBER(_xlfn.XMATCH(H162, 'Viks State Rollup Sheet'!G:G)), "Found in Rollup", "MISSING in Rollup"))</f>
        <v>MISSING in Rollup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ht="15.75" customHeight="1">
      <c r="A163" s="2" t="s">
        <v>696</v>
      </c>
      <c r="B163" s="2" t="s">
        <v>914</v>
      </c>
      <c r="C163" s="2" t="s">
        <v>1508</v>
      </c>
      <c r="D163" s="12" t="str">
        <f>IFERROR(__xludf.DUMMYFUNCTION("REGEXEXTRACT(E163, ""^(?:https?:\/\/)?(?:www\.)?([^\/]+)"")"),"dlbc.utah.gov")</f>
        <v>dlbc.utah.gov</v>
      </c>
      <c r="E163" s="2" t="s">
        <v>1510</v>
      </c>
      <c r="F163" s="2" t="s">
        <v>38</v>
      </c>
      <c r="G163" s="2" t="s">
        <v>1509</v>
      </c>
      <c r="H163" s="2" t="s">
        <v>52</v>
      </c>
      <c r="I163" s="2" t="s">
        <v>221</v>
      </c>
      <c r="J163" s="2" t="s">
        <v>1351</v>
      </c>
      <c r="K163" s="9" t="str">
        <f>IF(H163="", "", IF(ISNUMBER(_xlfn.XMATCH(H163, 'Viks State Rollup Sheet'!G:G)), "Found in Rollup", "MISSING in Rollup"))</f>
        <v>MISSING in Rollup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ht="15.75" customHeight="1">
      <c r="A164" s="2" t="s">
        <v>696</v>
      </c>
      <c r="B164" s="2" t="s">
        <v>1511</v>
      </c>
      <c r="C164" s="2" t="s">
        <v>520</v>
      </c>
      <c r="D164" s="12" t="str">
        <f>IFERROR(__xludf.DUMMYFUNCTION("REGEXEXTRACT(E164, ""^(?:https?:\/\/)?(?:www\.)?([^\/]+)"")"),"teamdhhs.utah.gov")</f>
        <v>teamdhhs.utah.gov</v>
      </c>
      <c r="E164" s="2" t="s">
        <v>1511</v>
      </c>
      <c r="F164" s="2" t="s">
        <v>38</v>
      </c>
      <c r="G164" s="2" t="s">
        <v>52</v>
      </c>
      <c r="H164" s="2" t="s">
        <v>52</v>
      </c>
      <c r="I164" s="2" t="s">
        <v>221</v>
      </c>
      <c r="J164" s="2" t="s">
        <v>1351</v>
      </c>
      <c r="K164" s="9" t="str">
        <f>IF(H164="", "", IF(ISNUMBER(_xlfn.XMATCH(H164, 'Viks State Rollup Sheet'!G:G)), "Found in Rollup", "MISSING in Rollup"))</f>
        <v>MISSING in Rollup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ht="15.75" customHeight="1">
      <c r="A165" s="2" t="s">
        <v>229</v>
      </c>
      <c r="B165" s="2" t="s">
        <v>1512</v>
      </c>
      <c r="C165" s="2" t="s">
        <v>1513</v>
      </c>
      <c r="D165" s="12" t="str">
        <f>IFERROR(__xludf.DUMMYFUNCTION("REGEXEXTRACT(E165, ""^(?:https?:\/\/)?(?:www\.)?([^\/]+)"")"),"boating.utah.gov")</f>
        <v>boating.utah.gov</v>
      </c>
      <c r="E165" s="2" t="s">
        <v>1514</v>
      </c>
      <c r="F165" s="2" t="s">
        <v>38</v>
      </c>
      <c r="G165" s="2" t="s">
        <v>1357</v>
      </c>
      <c r="H165" s="2" t="s">
        <v>52</v>
      </c>
      <c r="I165" s="2" t="s">
        <v>221</v>
      </c>
      <c r="J165" s="2" t="s">
        <v>1351</v>
      </c>
      <c r="K165" s="9" t="str">
        <f>IF(H165="", "", IF(ISNUMBER(_xlfn.XMATCH(H165, 'Viks State Rollup Sheet'!G:G)), "Found in Rollup", "MISSING in Rollup"))</f>
        <v>MISSING in Rollup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ht="15.75" customHeight="1">
      <c r="A166" s="2" t="s">
        <v>229</v>
      </c>
      <c r="B166" s="2" t="s">
        <v>1515</v>
      </c>
      <c r="C166" s="2" t="s">
        <v>1516</v>
      </c>
      <c r="D166" s="12" t="str">
        <f>IFERROR(__xludf.DUMMYFUNCTION("REGEXEXTRACT(E166, ""^(?:https?:\/\/)?(?:www\.)?([^\/]+)"")"),"ohv.utah.gov")</f>
        <v>ohv.utah.gov</v>
      </c>
      <c r="E166" s="2" t="s">
        <v>1517</v>
      </c>
      <c r="F166" s="2" t="s">
        <v>38</v>
      </c>
      <c r="G166" s="2" t="s">
        <v>1357</v>
      </c>
      <c r="H166" s="2" t="s">
        <v>52</v>
      </c>
      <c r="I166" s="2" t="s">
        <v>221</v>
      </c>
      <c r="J166" s="2" t="s">
        <v>1351</v>
      </c>
      <c r="K166" s="9" t="str">
        <f>IF(H166="", "", IF(ISNUMBER(_xlfn.XMATCH(H166, 'Viks State Rollup Sheet'!G:G)), "Found in Rollup", "MISSING in Rollup"))</f>
        <v>MISSING in Rollup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ht="15.75" customHeight="1">
      <c r="A167" s="2" t="s">
        <v>229</v>
      </c>
      <c r="B167" s="2" t="s">
        <v>1219</v>
      </c>
      <c r="C167" s="2" t="s">
        <v>1518</v>
      </c>
      <c r="D167" s="12" t="str">
        <f>IFERROR(__xludf.DUMMYFUNCTION("REGEXEXTRACT(E167, ""^(?:https?:\/\/)?(?:www\.)?([^\/]+)"")"),"recreation.utah.gov")</f>
        <v>recreation.utah.gov</v>
      </c>
      <c r="E167" s="2" t="s">
        <v>1220</v>
      </c>
      <c r="F167" s="2" t="s">
        <v>38</v>
      </c>
      <c r="G167" s="2" t="s">
        <v>1357</v>
      </c>
      <c r="H167" s="2" t="s">
        <v>52</v>
      </c>
      <c r="I167" s="2" t="s">
        <v>221</v>
      </c>
      <c r="J167" s="2" t="s">
        <v>1351</v>
      </c>
      <c r="K167" s="9" t="str">
        <f>IF(H167="", "", IF(ISNUMBER(_xlfn.XMATCH(H167, 'Viks State Rollup Sheet'!G:G)), "Found in Rollup", "MISSING in Rollup"))</f>
        <v>MISSING in Rollup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ht="15.75" customHeight="1">
      <c r="A168" s="18" t="s">
        <v>229</v>
      </c>
      <c r="B168" s="18" t="s">
        <v>1519</v>
      </c>
      <c r="C168" s="18" t="e">
        <v>#N/A</v>
      </c>
      <c r="D168" s="12" t="str">
        <f>IFERROR(__xludf.DUMMYFUNCTION("REGEXEXTRACT(E168, ""^(?:https?:\/\/)?(?:www\.)?([^\/]+)"")"),"utah-hunt.com")</f>
        <v>utah-hunt.com</v>
      </c>
      <c r="E168" s="18" t="s">
        <v>1519</v>
      </c>
      <c r="F168" s="18" t="s">
        <v>151</v>
      </c>
      <c r="G168" s="2" t="s">
        <v>152</v>
      </c>
      <c r="H168" s="2" t="s">
        <v>52</v>
      </c>
      <c r="I168" s="2" t="s">
        <v>221</v>
      </c>
      <c r="J168" s="2" t="s">
        <v>1351</v>
      </c>
      <c r="K168" s="9" t="str">
        <f>IF(H168="", "", IF(ISNUMBER(_xlfn.XMATCH(H168, 'Viks State Rollup Sheet'!G:G)), "Found in Rollup", "MISSING in Rollup"))</f>
        <v>MISSING in Rollup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ht="15.75" customHeight="1">
      <c r="A169" s="2" t="s">
        <v>229</v>
      </c>
      <c r="B169" s="2" t="s">
        <v>1521</v>
      </c>
      <c r="C169" s="2" t="s">
        <v>1522</v>
      </c>
      <c r="D169" s="12" t="str">
        <f>IFERROR(__xludf.DUMMYFUNCTION("REGEXEXTRACT(E169, ""^(?:https?:\/\/)?(?:www\.)?([^\/]+)"")"),"waterrights.utah.gov")</f>
        <v>waterrights.utah.gov</v>
      </c>
      <c r="E169" s="2" t="s">
        <v>1521</v>
      </c>
      <c r="F169" s="2" t="s">
        <v>38</v>
      </c>
      <c r="G169" s="2" t="s">
        <v>52</v>
      </c>
      <c r="H169" s="2" t="s">
        <v>52</v>
      </c>
      <c r="I169" s="2" t="s">
        <v>221</v>
      </c>
      <c r="J169" s="2" t="s">
        <v>1351</v>
      </c>
      <c r="K169" s="9" t="str">
        <f>IF(H169="", "", IF(ISNUMBER(_xlfn.XMATCH(H169, 'Viks State Rollup Sheet'!G:G)), "Found in Rollup", "MISSING in Rollup"))</f>
        <v>MISSING in Rollup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ht="15.75" customHeight="1">
      <c r="A170" s="2" t="s">
        <v>214</v>
      </c>
      <c r="B170" s="2" t="s">
        <v>250</v>
      </c>
      <c r="C170" s="2" t="s">
        <v>1524</v>
      </c>
      <c r="D170" s="12" t="str">
        <f>IFERROR(__xludf.DUMMYFUNCTION("REGEXEXTRACT(E170, ""^(?:https?:\/\/)?(?:www\.)?([^\/]+)"")"),"admin.commerce.utah.gov")</f>
        <v>admin.commerce.utah.gov</v>
      </c>
      <c r="E170" s="12" t="s">
        <v>250</v>
      </c>
      <c r="F170" s="2" t="s">
        <v>38</v>
      </c>
      <c r="G170" s="2" t="s">
        <v>1357</v>
      </c>
      <c r="H170" s="2" t="s">
        <v>52</v>
      </c>
      <c r="I170" s="2" t="s">
        <v>221</v>
      </c>
      <c r="J170" s="2" t="s">
        <v>1351</v>
      </c>
      <c r="K170" s="9" t="str">
        <f>IF(H170="", "", IF(ISNUMBER(_xlfn.XMATCH(H170, 'Viks State Rollup Sheet'!G:G)), "Found in Rollup", "MISSING in Rollup"))</f>
        <v>MISSING in Rollup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ht="15.75" customHeight="1">
      <c r="A171" s="2" t="s">
        <v>214</v>
      </c>
      <c r="B171" s="2" t="s">
        <v>1526</v>
      </c>
      <c r="C171" s="2" t="s">
        <v>1527</v>
      </c>
      <c r="D171" s="12" t="str">
        <f>IFERROR(__xludf.DUMMYFUNCTION("REGEXEXTRACT(E171, ""^(?:https?:\/\/)?(?:www\.)?([^\/]+)"")"),"blog.commerce.utah.gov")</f>
        <v>blog.commerce.utah.gov</v>
      </c>
      <c r="E171" s="12" t="s">
        <v>267</v>
      </c>
      <c r="F171" s="2" t="s">
        <v>38</v>
      </c>
      <c r="G171" s="2" t="s">
        <v>1357</v>
      </c>
      <c r="H171" s="2" t="s">
        <v>52</v>
      </c>
      <c r="I171" s="2" t="s">
        <v>221</v>
      </c>
      <c r="J171" s="2" t="s">
        <v>1351</v>
      </c>
      <c r="K171" s="9" t="str">
        <f>IF(H171="", "", IF(ISNUMBER(_xlfn.XMATCH(H171, 'Viks State Rollup Sheet'!G:G)), "Found in Rollup", "MISSING in Rollup"))</f>
        <v>MISSING in Rollup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ht="15.75" customHeight="1">
      <c r="A172" s="2" t="s">
        <v>214</v>
      </c>
      <c r="B172" s="2" t="s">
        <v>1528</v>
      </c>
      <c r="C172" s="2" t="s">
        <v>1529</v>
      </c>
      <c r="D172" s="12" t="str">
        <f>IFERROR(__xludf.DUMMYFUNCTION("REGEXEXTRACT(E172, ""^(?:https?:\/\/)?(?:www\.)?([^\/]+)"")"),"businessregistration.utah.gov")</f>
        <v>businessregistration.utah.gov</v>
      </c>
      <c r="E172" s="2" t="s">
        <v>1528</v>
      </c>
      <c r="F172" s="2" t="s">
        <v>38</v>
      </c>
      <c r="G172" s="2" t="s">
        <v>52</v>
      </c>
      <c r="H172" s="2" t="s">
        <v>52</v>
      </c>
      <c r="I172" s="2" t="s">
        <v>221</v>
      </c>
      <c r="J172" s="2" t="s">
        <v>1351</v>
      </c>
      <c r="K172" s="9" t="str">
        <f>IF(H172="", "", IF(ISNUMBER(_xlfn.XMATCH(H172, 'Viks State Rollup Sheet'!G:G)), "Found in Rollup", "MISSING in Rollup"))</f>
        <v>MISSING in Rollup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ht="15.75" customHeight="1">
      <c r="A173" s="2" t="s">
        <v>214</v>
      </c>
      <c r="B173" s="2" t="s">
        <v>1533</v>
      </c>
      <c r="C173" s="2" t="s">
        <v>1529</v>
      </c>
      <c r="D173" s="12" t="str">
        <f>IFERROR(__xludf.DUMMYFUNCTION("REGEXEXTRACT(E173, ""^(?:https?:\/\/)?(?:www\.)?([^\/]+)"")"),"busu.sgut.civixapps.com")</f>
        <v>busu.sgut.civixapps.com</v>
      </c>
      <c r="E173" s="2" t="s">
        <v>1533</v>
      </c>
      <c r="F173" s="2" t="s">
        <v>38</v>
      </c>
      <c r="G173" s="2" t="s">
        <v>52</v>
      </c>
      <c r="H173" s="2" t="s">
        <v>52</v>
      </c>
      <c r="I173" s="2" t="s">
        <v>221</v>
      </c>
      <c r="J173" s="2" t="s">
        <v>1351</v>
      </c>
      <c r="K173" s="9" t="str">
        <f>IF(H173="", "", IF(ISNUMBER(_xlfn.XMATCH(H173, 'Viks State Rollup Sheet'!G:G)), "Found in Rollup", "MISSING in Rollup"))</f>
        <v>MISSING in Rollup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ht="15.75" customHeight="1">
      <c r="A174" s="2" t="s">
        <v>214</v>
      </c>
      <c r="B174" s="2" t="s">
        <v>1536</v>
      </c>
      <c r="C174" s="2" t="s">
        <v>1527</v>
      </c>
      <c r="D174" s="12" t="str">
        <f>IFERROR(__xludf.DUMMYFUNCTION("REGEXEXTRACT(E174, ""^(?:https?:\/\/)?(?:www\.)?([^\/]+)"")"),"commerce.utah.gov")</f>
        <v>commerce.utah.gov</v>
      </c>
      <c r="E174" s="12" t="s">
        <v>1537</v>
      </c>
      <c r="F174" s="2" t="s">
        <v>38</v>
      </c>
      <c r="G174" s="2" t="s">
        <v>1357</v>
      </c>
      <c r="H174" s="2" t="s">
        <v>52</v>
      </c>
      <c r="I174" s="2" t="s">
        <v>221</v>
      </c>
      <c r="J174" s="2" t="s">
        <v>1351</v>
      </c>
      <c r="K174" s="9" t="str">
        <f>IF(H174="", "", IF(ISNUMBER(_xlfn.XMATCH(H174, 'Viks State Rollup Sheet'!G:G)), "Found in Rollup", "MISSING in Rollup"))</f>
        <v>MISSING in Rollup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ht="15.75" customHeight="1">
      <c r="A175" s="2" t="s">
        <v>214</v>
      </c>
      <c r="B175" s="2" t="s">
        <v>1538</v>
      </c>
      <c r="C175" s="2" t="s">
        <v>1527</v>
      </c>
      <c r="D175" s="12" t="str">
        <f>IFERROR(__xludf.DUMMYFUNCTION("REGEXEXTRACT(E175, ""^(?:https?:\/\/)?(?:www\.)?([^\/]+)"")"),"commerce.utah.gov")</f>
        <v>commerce.utah.gov</v>
      </c>
      <c r="E175" s="12" t="s">
        <v>1539</v>
      </c>
      <c r="F175" s="2" t="s">
        <v>38</v>
      </c>
      <c r="G175" s="2" t="s">
        <v>1357</v>
      </c>
      <c r="H175" s="2" t="s">
        <v>52</v>
      </c>
      <c r="I175" s="2" t="s">
        <v>221</v>
      </c>
      <c r="J175" s="2" t="s">
        <v>1351</v>
      </c>
      <c r="K175" s="9" t="str">
        <f>IF(H175="", "", IF(ISNUMBER(_xlfn.XMATCH(H175, 'Viks State Rollup Sheet'!G:G)), "Found in Rollup", "MISSING in Rollup"))</f>
        <v>MISSING in Rollup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ht="15.75" customHeight="1">
      <c r="A176" s="2" t="s">
        <v>214</v>
      </c>
      <c r="B176" s="2" t="s">
        <v>1541</v>
      </c>
      <c r="C176" s="2" t="s">
        <v>1542</v>
      </c>
      <c r="D176" s="12" t="str">
        <f>IFERROR(__xludf.DUMMYFUNCTION("REGEXEXTRACT(E176, ""^(?:https?:\/\/)?(?:www\.)?([^\/]+)"")"),"corporations.utah.gov")</f>
        <v>corporations.utah.gov</v>
      </c>
      <c r="E176" s="12" t="s">
        <v>1541</v>
      </c>
      <c r="F176" s="2" t="s">
        <v>38</v>
      </c>
      <c r="G176" s="2" t="s">
        <v>1357</v>
      </c>
      <c r="H176" s="2" t="s">
        <v>52</v>
      </c>
      <c r="I176" s="2" t="s">
        <v>221</v>
      </c>
      <c r="J176" s="2" t="s">
        <v>1351</v>
      </c>
      <c r="K176" s="9" t="str">
        <f>IF(H176="", "", IF(ISNUMBER(_xlfn.XMATCH(H176, 'Viks State Rollup Sheet'!G:G)), "Found in Rollup", "MISSING in Rollup"))</f>
        <v>MISSING in Rollup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ht="15.75" customHeight="1">
      <c r="A177" s="2" t="s">
        <v>214</v>
      </c>
      <c r="B177" s="2" t="s">
        <v>1114</v>
      </c>
      <c r="C177" s="2" t="s">
        <v>1543</v>
      </c>
      <c r="D177" s="12" t="str">
        <f>IFERROR(__xludf.DUMMYFUNCTION("REGEXEXTRACT(E177, ""^(?:https?:\/\/)?(?:www\.)?([^\/]+)"")"),"dcp.utah.gov")</f>
        <v>dcp.utah.gov</v>
      </c>
      <c r="E177" s="12" t="s">
        <v>1114</v>
      </c>
      <c r="F177" s="2" t="s">
        <v>38</v>
      </c>
      <c r="G177" s="2" t="s">
        <v>1357</v>
      </c>
      <c r="H177" s="2" t="s">
        <v>52</v>
      </c>
      <c r="I177" s="2" t="s">
        <v>221</v>
      </c>
      <c r="J177" s="2" t="s">
        <v>1351</v>
      </c>
      <c r="K177" s="9" t="str">
        <f>IF(H177="", "", IF(ISNUMBER(_xlfn.XMATCH(H177, 'Viks State Rollup Sheet'!G:G)), "Found in Rollup", "MISSING in Rollup"))</f>
        <v>MISSING in Rollup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ht="15.75" customHeight="1">
      <c r="A178" s="2" t="s">
        <v>214</v>
      </c>
      <c r="B178" s="2" t="s">
        <v>1544</v>
      </c>
      <c r="C178" s="2" t="s">
        <v>1527</v>
      </c>
      <c r="D178" s="12" t="str">
        <f>IFERROR(__xludf.DUMMYFUNCTION("REGEXEXTRACT(E178, ""^(?:https?:\/\/)?(?:www\.)?([^\/]+)"")"),"dopl.utah.gov")</f>
        <v>dopl.utah.gov</v>
      </c>
      <c r="E178" s="12" t="s">
        <v>1545</v>
      </c>
      <c r="F178" s="2" t="s">
        <v>38</v>
      </c>
      <c r="G178" s="2" t="s">
        <v>1357</v>
      </c>
      <c r="H178" s="2" t="s">
        <v>52</v>
      </c>
      <c r="I178" s="2" t="s">
        <v>221</v>
      </c>
      <c r="J178" s="2" t="s">
        <v>1351</v>
      </c>
      <c r="K178" s="9" t="str">
        <f>IF(H178="", "", IF(ISNUMBER(_xlfn.XMATCH(H178, 'Viks State Rollup Sheet'!G:G)), "Found in Rollup", "MISSING in Rollup"))</f>
        <v>MISSING in Rollup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ht="15.75" customHeight="1">
      <c r="A179" s="2" t="s">
        <v>214</v>
      </c>
      <c r="B179" s="2" t="s">
        <v>1547</v>
      </c>
      <c r="C179" s="2" t="s">
        <v>1548</v>
      </c>
      <c r="D179" s="12" t="str">
        <f>IFERROR(__xludf.DUMMYFUNCTION("REGEXEXTRACT(E179, ""^(?:https?:\/\/)?(?:www\.)?([^\/]+)"")"),"dpu.utah.gov")</f>
        <v>dpu.utah.gov</v>
      </c>
      <c r="E179" s="12" t="s">
        <v>1547</v>
      </c>
      <c r="F179" s="2" t="s">
        <v>38</v>
      </c>
      <c r="G179" s="2" t="s">
        <v>1357</v>
      </c>
      <c r="H179" s="2" t="s">
        <v>52</v>
      </c>
      <c r="I179" s="2" t="s">
        <v>221</v>
      </c>
      <c r="J179" s="2" t="s">
        <v>1351</v>
      </c>
      <c r="K179" s="9" t="str">
        <f>IF(H179="", "", IF(ISNUMBER(_xlfn.XMATCH(H179, 'Viks State Rollup Sheet'!G:G)), "Found in Rollup", "MISSING in Rollup"))</f>
        <v>MISSING in Rollup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ht="15.75" customHeight="1">
      <c r="A180" s="2" t="s">
        <v>214</v>
      </c>
      <c r="B180" s="2" t="s">
        <v>1549</v>
      </c>
      <c r="C180" s="2" t="s">
        <v>1550</v>
      </c>
      <c r="D180" s="12" t="str">
        <f>IFERROR(__xludf.DUMMYFUNCTION("REGEXEXTRACT(E180, ""^(?:https?:\/\/)?(?:www\.)?([^\/]+)"")"),"ocs.utah.gov")</f>
        <v>ocs.utah.gov</v>
      </c>
      <c r="E180" s="12" t="s">
        <v>1549</v>
      </c>
      <c r="F180" s="2" t="s">
        <v>38</v>
      </c>
      <c r="G180" s="2" t="s">
        <v>1357</v>
      </c>
      <c r="H180" s="2" t="s">
        <v>52</v>
      </c>
      <c r="I180" s="2" t="s">
        <v>221</v>
      </c>
      <c r="J180" s="2" t="s">
        <v>1351</v>
      </c>
      <c r="K180" s="9" t="str">
        <f>IF(H180="", "", IF(ISNUMBER(_xlfn.XMATCH(H180, 'Viks State Rollup Sheet'!G:G)), "Found in Rollup", "MISSING in Rollup"))</f>
        <v>MISSING in Rollup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ht="15.75" customHeight="1">
      <c r="A181" s="2" t="s">
        <v>214</v>
      </c>
      <c r="B181" s="2" t="s">
        <v>1552</v>
      </c>
      <c r="C181" s="2" t="s">
        <v>1553</v>
      </c>
      <c r="D181" s="12" t="str">
        <f>IFERROR(__xludf.DUMMYFUNCTION("REGEXEXTRACT(E181, ""^(?:https?:\/\/)?(?:www\.)?([^\/]+)"")"),"propertyrights.utah.gov")</f>
        <v>propertyrights.utah.gov</v>
      </c>
      <c r="E181" s="12" t="s">
        <v>1552</v>
      </c>
      <c r="F181" s="2" t="s">
        <v>38</v>
      </c>
      <c r="G181" s="2" t="s">
        <v>1357</v>
      </c>
      <c r="H181" s="2" t="s">
        <v>52</v>
      </c>
      <c r="I181" s="2" t="s">
        <v>221</v>
      </c>
      <c r="J181" s="2" t="s">
        <v>1351</v>
      </c>
      <c r="K181" s="9" t="str">
        <f>IF(H181="", "", IF(ISNUMBER(_xlfn.XMATCH(H181, 'Viks State Rollup Sheet'!G:G)), "Found in Rollup", "MISSING in Rollup"))</f>
        <v>MISSING in Rollup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ht="15.75" customHeight="1">
      <c r="A182" s="2" t="s">
        <v>214</v>
      </c>
      <c r="B182" s="2" t="s">
        <v>1554</v>
      </c>
      <c r="C182" s="2" t="s">
        <v>1556</v>
      </c>
      <c r="D182" s="12" t="str">
        <f>IFERROR(__xludf.DUMMYFUNCTION("REGEXEXTRACT(E182, ""^(?:https?:\/\/)?(?:www\.)?([^\/]+)"")"),"realestate.utah.gov")</f>
        <v>realestate.utah.gov</v>
      </c>
      <c r="E182" s="12" t="s">
        <v>1554</v>
      </c>
      <c r="F182" s="2" t="s">
        <v>38</v>
      </c>
      <c r="G182" s="2" t="s">
        <v>1357</v>
      </c>
      <c r="H182" s="2" t="s">
        <v>52</v>
      </c>
      <c r="I182" s="2" t="s">
        <v>221</v>
      </c>
      <c r="J182" s="2" t="s">
        <v>1351</v>
      </c>
      <c r="K182" s="9" t="str">
        <f>IF(H182="", "", IF(ISNUMBER(_xlfn.XMATCH(H182, 'Viks State Rollup Sheet'!G:G)), "Found in Rollup", "MISSING in Rollup"))</f>
        <v>MISSING in Rollup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ht="15.75" customHeight="1">
      <c r="A183" s="2" t="s">
        <v>214</v>
      </c>
      <c r="B183" s="2" t="s">
        <v>1557</v>
      </c>
      <c r="C183" s="2" t="s">
        <v>1542</v>
      </c>
      <c r="D183" s="12" t="s">
        <v>1557</v>
      </c>
      <c r="E183" s="12" t="s">
        <v>1557</v>
      </c>
      <c r="F183" s="2" t="s">
        <v>38</v>
      </c>
      <c r="G183" s="2" t="s">
        <v>1357</v>
      </c>
      <c r="H183" s="2" t="s">
        <v>52</v>
      </c>
      <c r="I183" s="2" t="s">
        <v>221</v>
      </c>
      <c r="J183" s="2" t="s">
        <v>1351</v>
      </c>
      <c r="K183" s="9" t="str">
        <f>IF(H183="", "", IF(ISNUMBER(_xlfn.XMATCH(H183, 'Viks State Rollup Sheet'!G:G)), "Found in Rollup", "MISSING in Rollup"))</f>
        <v>MISSING in Rollup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ht="15.75" customHeight="1">
      <c r="A184" s="2" t="s">
        <v>214</v>
      </c>
      <c r="B184" s="2" t="s">
        <v>1558</v>
      </c>
      <c r="C184" s="2" t="s">
        <v>1529</v>
      </c>
      <c r="D184" s="2" t="s">
        <v>1558</v>
      </c>
      <c r="E184" s="2" t="s">
        <v>1558</v>
      </c>
      <c r="F184" s="2" t="s">
        <v>38</v>
      </c>
      <c r="G184" s="2" t="s">
        <v>52</v>
      </c>
      <c r="H184" s="2" t="s">
        <v>52</v>
      </c>
      <c r="I184" s="2" t="s">
        <v>221</v>
      </c>
      <c r="J184" s="2" t="s">
        <v>1351</v>
      </c>
      <c r="K184" s="9" t="str">
        <f>IF(H184="", "", IF(ISNUMBER(_xlfn.XMATCH(H184, 'Viks State Rollup Sheet'!G:G)), "Found in Rollup", "MISSING in Rollup"))</f>
        <v>MISSING in Rollup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ht="15.75" customHeight="1">
      <c r="A185" s="18" t="s">
        <v>214</v>
      </c>
      <c r="B185" s="18" t="s">
        <v>1560</v>
      </c>
      <c r="C185" s="18" t="e">
        <v>#N/A</v>
      </c>
      <c r="D185" s="18" t="s">
        <v>1560</v>
      </c>
      <c r="E185" s="18" t="s">
        <v>1560</v>
      </c>
      <c r="F185" s="18" t="s">
        <v>151</v>
      </c>
      <c r="G185" s="2" t="s">
        <v>152</v>
      </c>
      <c r="H185" s="2" t="s">
        <v>52</v>
      </c>
      <c r="I185" s="2" t="s">
        <v>221</v>
      </c>
      <c r="J185" s="2" t="s">
        <v>1351</v>
      </c>
      <c r="K185" s="9" t="str">
        <f>IF(H185="", "", IF(ISNUMBER(_xlfn.XMATCH(H185, 'Viks State Rollup Sheet'!G:G)), "Found in Rollup", "MISSING in Rollup"))</f>
        <v>MISSING in Rollup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ht="15.75" customHeight="1">
      <c r="A186" s="2" t="s">
        <v>214</v>
      </c>
      <c r="B186" s="2" t="s">
        <v>1561</v>
      </c>
      <c r="C186" s="2" t="s">
        <v>1542</v>
      </c>
      <c r="D186" s="12" t="s">
        <v>1561</v>
      </c>
      <c r="E186" s="12" t="s">
        <v>1561</v>
      </c>
      <c r="F186" s="2" t="s">
        <v>38</v>
      </c>
      <c r="G186" s="2" t="s">
        <v>1357</v>
      </c>
      <c r="H186" s="2" t="s">
        <v>52</v>
      </c>
      <c r="I186" s="2" t="s">
        <v>221</v>
      </c>
      <c r="J186" s="2" t="s">
        <v>1351</v>
      </c>
      <c r="K186" s="9" t="str">
        <f>IF(H186="", "", IF(ISNUMBER(_xlfn.XMATCH(H186, 'Viks State Rollup Sheet'!G:G)), "Found in Rollup", "MISSING in Rollup"))</f>
        <v>MISSING in Rollup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ht="15.75" customHeight="1">
      <c r="A187" s="18" t="s">
        <v>214</v>
      </c>
      <c r="B187" s="18" t="s">
        <v>1562</v>
      </c>
      <c r="C187" s="18" t="e">
        <v>#N/A</v>
      </c>
      <c r="D187" s="18" t="s">
        <v>1562</v>
      </c>
      <c r="E187" s="18" t="s">
        <v>1562</v>
      </c>
      <c r="F187" s="18" t="s">
        <v>151</v>
      </c>
      <c r="G187" s="2" t="s">
        <v>152</v>
      </c>
      <c r="H187" s="2" t="s">
        <v>52</v>
      </c>
      <c r="I187" s="2" t="s">
        <v>221</v>
      </c>
      <c r="J187" s="2" t="s">
        <v>1351</v>
      </c>
      <c r="K187" s="9" t="str">
        <f>IF(H187="", "", IF(ISNUMBER(_xlfn.XMATCH(H187, 'Viks State Rollup Sheet'!G:G)), "Found in Rollup", "MISSING in Rollup"))</f>
        <v>MISSING in Rollup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ht="15.75" customHeight="1">
      <c r="A188" s="2" t="s">
        <v>214</v>
      </c>
      <c r="B188" s="2" t="s">
        <v>1563</v>
      </c>
      <c r="C188" s="2" t="s">
        <v>1542</v>
      </c>
      <c r="D188" s="12" t="s">
        <v>1563</v>
      </c>
      <c r="E188" s="12" t="s">
        <v>1563</v>
      </c>
      <c r="F188" s="2" t="s">
        <v>38</v>
      </c>
      <c r="G188" s="2" t="s">
        <v>1357</v>
      </c>
      <c r="H188" s="2" t="s">
        <v>52</v>
      </c>
      <c r="I188" s="2" t="s">
        <v>221</v>
      </c>
      <c r="J188" s="2" t="s">
        <v>1351</v>
      </c>
      <c r="K188" s="9" t="str">
        <f>IF(H188="", "", IF(ISNUMBER(_xlfn.XMATCH(H188, 'Viks State Rollup Sheet'!G:G)), "Found in Rollup", "MISSING in Rollup"))</f>
        <v>MISSING in Rollup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ht="15.75" customHeight="1">
      <c r="A189" s="2" t="s">
        <v>214</v>
      </c>
      <c r="B189" s="2" t="s">
        <v>1564</v>
      </c>
      <c r="C189" s="2" t="s">
        <v>1556</v>
      </c>
      <c r="D189" s="12" t="s">
        <v>1564</v>
      </c>
      <c r="E189" s="12" t="s">
        <v>1564</v>
      </c>
      <c r="F189" s="2" t="s">
        <v>38</v>
      </c>
      <c r="G189" s="2" t="s">
        <v>1357</v>
      </c>
      <c r="H189" s="2" t="s">
        <v>52</v>
      </c>
      <c r="I189" s="2" t="s">
        <v>221</v>
      </c>
      <c r="J189" s="2" t="s">
        <v>1351</v>
      </c>
      <c r="K189" s="9" t="str">
        <f>IF(H189="", "", IF(ISNUMBER(_xlfn.XMATCH(H189, 'Viks State Rollup Sheet'!G:G)), "Found in Rollup", "MISSING in Rollup"))</f>
        <v>MISSING in Rollup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ht="15.75" customHeight="1">
      <c r="A190" s="2" t="s">
        <v>214</v>
      </c>
      <c r="B190" s="2" t="s">
        <v>1565</v>
      </c>
      <c r="C190" s="2" t="s">
        <v>1529</v>
      </c>
      <c r="D190" s="2" t="s">
        <v>1565</v>
      </c>
      <c r="E190" s="2" t="s">
        <v>1565</v>
      </c>
      <c r="F190" s="2" t="s">
        <v>38</v>
      </c>
      <c r="G190" s="2" t="s">
        <v>52</v>
      </c>
      <c r="H190" s="2" t="s">
        <v>52</v>
      </c>
      <c r="I190" s="2" t="s">
        <v>221</v>
      </c>
      <c r="J190" s="2" t="s">
        <v>1351</v>
      </c>
      <c r="K190" s="9" t="str">
        <f>IF(H190="", "", IF(ISNUMBER(_xlfn.XMATCH(H190, 'Viks State Rollup Sheet'!G:G)), "Found in Rollup", "MISSING in Rollup"))</f>
        <v>MISSING in Rollup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ht="15.75" customHeight="1">
      <c r="A191" s="2" t="s">
        <v>214</v>
      </c>
      <c r="B191" s="2" t="s">
        <v>1611</v>
      </c>
      <c r="C191" s="2" t="s">
        <v>1612</v>
      </c>
      <c r="D191" s="2" t="s">
        <v>1611</v>
      </c>
      <c r="E191" s="2" t="s">
        <v>1611</v>
      </c>
      <c r="F191" s="2" t="s">
        <v>38</v>
      </c>
      <c r="G191" s="2" t="s">
        <v>52</v>
      </c>
      <c r="H191" s="2" t="s">
        <v>52</v>
      </c>
      <c r="I191" s="2" t="s">
        <v>221</v>
      </c>
      <c r="J191" s="2" t="s">
        <v>1351</v>
      </c>
      <c r="K191" s="9" t="str">
        <f>IF(H191="", "", IF(ISNUMBER(_xlfn.XMATCH(H191, 'Viks State Rollup Sheet'!G:G)), "Found in Rollup", "MISSING in Rollup"))</f>
        <v>MISSING in Rollup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ht="15.75" customHeight="1">
      <c r="A192" s="2" t="s">
        <v>214</v>
      </c>
      <c r="B192" s="2" t="s">
        <v>1613</v>
      </c>
      <c r="C192" s="2" t="s">
        <v>1614</v>
      </c>
      <c r="D192" s="12" t="str">
        <f>IFERROR(__xludf.DUMMYFUNCTION("REGEXEXTRACT(E192, ""^(?:https?:\/\/)?(?:www\.)?([^\/]+)"")"),"securities.utah.gov")</f>
        <v>securities.utah.gov</v>
      </c>
      <c r="E192" s="12" t="s">
        <v>1613</v>
      </c>
      <c r="F192" s="2" t="s">
        <v>38</v>
      </c>
      <c r="G192" s="2" t="s">
        <v>1357</v>
      </c>
      <c r="H192" s="2" t="s">
        <v>52</v>
      </c>
      <c r="I192" s="2" t="s">
        <v>221</v>
      </c>
      <c r="J192" s="2" t="s">
        <v>1351</v>
      </c>
      <c r="K192" s="9" t="str">
        <f>IF(H192="", "", IF(ISNUMBER(_xlfn.XMATCH(H192, 'Viks State Rollup Sheet'!G:G)), "Found in Rollup", "MISSING in Rollup"))</f>
        <v>MISSING in Rollup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ht="15.75" customHeight="1">
      <c r="A193" s="2" t="s">
        <v>214</v>
      </c>
      <c r="B193" s="2" t="s">
        <v>1615</v>
      </c>
      <c r="C193" s="2" t="s">
        <v>1616</v>
      </c>
      <c r="D193" s="12" t="str">
        <f>IFERROR(__xludf.DUMMYFUNCTION("REGEXEXTRACT(E193, ""^(?:https?:\/\/)?(?:www\.)?([^\/]+)"")"),"sgutq-publicportal.busdq.civixapps.com")</f>
        <v>sgutq-publicportal.busdq.civixapps.com</v>
      </c>
      <c r="E193" s="2" t="s">
        <v>1615</v>
      </c>
      <c r="F193" s="2" t="s">
        <v>38</v>
      </c>
      <c r="G193" s="2" t="s">
        <v>52</v>
      </c>
      <c r="H193" s="2" t="s">
        <v>52</v>
      </c>
      <c r="I193" s="2" t="s">
        <v>221</v>
      </c>
      <c r="J193" s="2" t="s">
        <v>1351</v>
      </c>
      <c r="K193" s="9" t="str">
        <f>IF(H193="", "", IF(ISNUMBER(_xlfn.XMATCH(H193, 'Viks State Rollup Sheet'!G:G)), "Found in Rollup", "MISSING in Rollup"))</f>
        <v>MISSING in Rollup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ht="15.75" customHeight="1">
      <c r="A194" s="2" t="s">
        <v>214</v>
      </c>
      <c r="B194" s="2" t="s">
        <v>1448</v>
      </c>
      <c r="C194" s="2" t="s">
        <v>1618</v>
      </c>
      <c r="D194" s="12" t="str">
        <f>IFERROR(__xludf.DUMMYFUNCTION("REGEXEXTRACT(E194, ""^(?:https?:\/\/)?(?:www\.)?([^\/]+)"")"),"socialmedia.utah.gov")</f>
        <v>socialmedia.utah.gov</v>
      </c>
      <c r="E194" s="12" t="s">
        <v>1448</v>
      </c>
      <c r="F194" s="2" t="s">
        <v>38</v>
      </c>
      <c r="G194" s="2" t="s">
        <v>1357</v>
      </c>
      <c r="H194" s="2" t="s">
        <v>52</v>
      </c>
      <c r="I194" s="2" t="s">
        <v>221</v>
      </c>
      <c r="J194" s="2" t="s">
        <v>1351</v>
      </c>
      <c r="K194" s="9" t="str">
        <f>IF(H194="", "", IF(ISNUMBER(_xlfn.XMATCH(H194, 'Viks State Rollup Sheet'!G:G)), "Found in Rollup", "MISSING in Rollup"))</f>
        <v>MISSING in Rollup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ht="15.75" customHeight="1">
      <c r="A195" s="2" t="s">
        <v>214</v>
      </c>
      <c r="B195" s="2" t="s">
        <v>1620</v>
      </c>
      <c r="C195" s="2" t="s">
        <v>1621</v>
      </c>
      <c r="D195" s="12" t="str">
        <f>IFERROR(__xludf.DUMMYFUNCTION("REGEXEXTRACT(E195, ""^(?:https?:\/\/)?(?:www\.)?([^\/]+)"")"),"uphp.utah.gov")</f>
        <v>uphp.utah.gov</v>
      </c>
      <c r="E195" s="12" t="s">
        <v>1620</v>
      </c>
      <c r="F195" s="2" t="s">
        <v>38</v>
      </c>
      <c r="G195" s="2" t="s">
        <v>1357</v>
      </c>
      <c r="H195" s="2" t="s">
        <v>52</v>
      </c>
      <c r="I195" s="2" t="s">
        <v>221</v>
      </c>
      <c r="J195" s="2" t="s">
        <v>1351</v>
      </c>
      <c r="K195" s="9" t="str">
        <f>IF(H195="", "", IF(ISNUMBER(_xlfn.XMATCH(H195, 'Viks State Rollup Sheet'!G:G)), "Found in Rollup", "MISSING in Rollup"))</f>
        <v>MISSING in Rollup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ht="15.75" customHeight="1">
      <c r="A196" s="2" t="s">
        <v>356</v>
      </c>
      <c r="B196" s="2" t="s">
        <v>1622</v>
      </c>
      <c r="C196" s="2" t="s">
        <v>1623</v>
      </c>
      <c r="D196" s="12" t="str">
        <f>IFERROR(__xludf.DUMMYFUNCTION("REGEXEXTRACT(E196, ""^(?:https?:\/\/)?(?:www\.)?([^\/]+)"")"),"app.kaseware.us")</f>
        <v>app.kaseware.us</v>
      </c>
      <c r="E196" s="2" t="s">
        <v>1622</v>
      </c>
      <c r="F196" s="2" t="s">
        <v>38</v>
      </c>
      <c r="G196" s="2" t="s">
        <v>52</v>
      </c>
      <c r="H196" s="2" t="s">
        <v>52</v>
      </c>
      <c r="I196" s="2" t="s">
        <v>221</v>
      </c>
      <c r="J196" s="2" t="s">
        <v>1351</v>
      </c>
      <c r="K196" s="9" t="str">
        <f>IF(H196="", "", IF(ISNUMBER(_xlfn.XMATCH(H196, 'Viks State Rollup Sheet'!G:G)), "Found in Rollup", "MISSING in Rollup"))</f>
        <v>MISSING in Rollup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ht="15.75" customHeight="1">
      <c r="A197" s="2" t="s">
        <v>356</v>
      </c>
      <c r="B197" s="2" t="s">
        <v>1625</v>
      </c>
      <c r="C197" s="2" t="s">
        <v>1626</v>
      </c>
      <c r="D197" s="12" t="str">
        <f>IFERROR(__xludf.DUMMYFUNCTION("REGEXEXTRACT(E197, ""^(?:https?:\/\/)?(?:www\.)?([^\/]+)"")"),"dldapply.ps.utah.gov")</f>
        <v>dldapply.ps.utah.gov</v>
      </c>
      <c r="E197" s="2" t="s">
        <v>1625</v>
      </c>
      <c r="F197" s="2" t="s">
        <v>38</v>
      </c>
      <c r="G197" s="2" t="s">
        <v>52</v>
      </c>
      <c r="H197" s="2" t="s">
        <v>52</v>
      </c>
      <c r="I197" s="2" t="s">
        <v>221</v>
      </c>
      <c r="J197" s="2" t="s">
        <v>1351</v>
      </c>
      <c r="K197" s="9" t="str">
        <f>IF(H197="", "", IF(ISNUMBER(_xlfn.XMATCH(H197, 'Viks State Rollup Sheet'!G:G)), "Found in Rollup", "MISSING in Rollup"))</f>
        <v>MISSING in Rollup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ht="15.75" customHeight="1">
      <c r="A198" s="2" t="s">
        <v>356</v>
      </c>
      <c r="B198" s="2" t="s">
        <v>1602</v>
      </c>
      <c r="C198" s="2" t="s">
        <v>1628</v>
      </c>
      <c r="D198" s="12" t="str">
        <f>IFERROR(__xludf.DUMMYFUNCTION("REGEXEXTRACT(E198, ""^(?:https?:\/\/)?(?:www\.)?([^\/]+)"")"),"sbi.utah.gov")</f>
        <v>sbi.utah.gov</v>
      </c>
      <c r="E198" s="2" t="s">
        <v>1629</v>
      </c>
      <c r="F198" s="2" t="s">
        <v>38</v>
      </c>
      <c r="G198" s="2" t="s">
        <v>1630</v>
      </c>
      <c r="H198" s="2" t="s">
        <v>52</v>
      </c>
      <c r="I198" s="2" t="s">
        <v>221</v>
      </c>
      <c r="J198" s="2" t="s">
        <v>1351</v>
      </c>
      <c r="K198" s="9" t="str">
        <f>IF(H198="", "", IF(ISNUMBER(_xlfn.XMATCH(H198, 'Viks State Rollup Sheet'!G:G)), "Found in Rollup", "MISSING in Rollup"))</f>
        <v>MISSING in Rollup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ht="15.75" customHeight="1">
      <c r="A199" s="2" t="s">
        <v>356</v>
      </c>
      <c r="B199" s="2" t="s">
        <v>1631</v>
      </c>
      <c r="C199" s="2" t="s">
        <v>1612</v>
      </c>
      <c r="D199" s="2" t="s">
        <v>1631</v>
      </c>
      <c r="E199" s="2" t="s">
        <v>1631</v>
      </c>
      <c r="F199" s="2" t="s">
        <v>38</v>
      </c>
      <c r="G199" s="2" t="s">
        <v>52</v>
      </c>
      <c r="H199" s="2" t="s">
        <v>52</v>
      </c>
      <c r="I199" s="2" t="s">
        <v>221</v>
      </c>
      <c r="J199" s="2" t="s">
        <v>1351</v>
      </c>
      <c r="K199" s="9" t="str">
        <f>IF(H199="", "", IF(ISNUMBER(_xlfn.XMATCH(H199, 'Viks State Rollup Sheet'!G:G)), "Found in Rollup", "MISSING in Rollup"))</f>
        <v>MISSING in Rollup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ht="15.75" customHeight="1">
      <c r="A200" s="18" t="s">
        <v>356</v>
      </c>
      <c r="B200" s="18" t="s">
        <v>1632</v>
      </c>
      <c r="C200" s="18" t="e">
        <v>#N/A</v>
      </c>
      <c r="D200" s="18" t="s">
        <v>1632</v>
      </c>
      <c r="E200" s="18" t="s">
        <v>1632</v>
      </c>
      <c r="F200" s="18" t="s">
        <v>151</v>
      </c>
      <c r="G200" s="2" t="s">
        <v>152</v>
      </c>
      <c r="H200" s="2" t="s">
        <v>52</v>
      </c>
      <c r="I200" s="2" t="s">
        <v>221</v>
      </c>
      <c r="J200" s="2" t="s">
        <v>1351</v>
      </c>
      <c r="K200" s="9" t="str">
        <f>IF(H200="", "", IF(ISNUMBER(_xlfn.XMATCH(H200, 'Viks State Rollup Sheet'!G:G)), "Found in Rollup", "MISSING in Rollup"))</f>
        <v>MISSING in Rollup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ht="15.75" customHeight="1">
      <c r="A201" s="2" t="s">
        <v>356</v>
      </c>
      <c r="B201" s="2" t="s">
        <v>1633</v>
      </c>
      <c r="C201" s="2" t="s">
        <v>1634</v>
      </c>
      <c r="D201" s="12" t="str">
        <f>IFERROR(__xludf.DUMMYFUNCTION("REGEXEXTRACT(E201, ""^(?:https?:\/\/)?(?:www\.)?([^\/]+)"")"),"serialandcfp.ps.utah.gov")</f>
        <v>serialandcfp.ps.utah.gov</v>
      </c>
      <c r="E201" s="2" t="s">
        <v>1633</v>
      </c>
      <c r="F201" s="2" t="s">
        <v>38</v>
      </c>
      <c r="G201" s="2" t="s">
        <v>52</v>
      </c>
      <c r="H201" s="2" t="s">
        <v>52</v>
      </c>
      <c r="I201" s="2" t="s">
        <v>221</v>
      </c>
      <c r="J201" s="2" t="s">
        <v>1351</v>
      </c>
      <c r="K201" s="9" t="str">
        <f>IF(H201="", "", IF(ISNUMBER(_xlfn.XMATCH(H201, 'Viks State Rollup Sheet'!G:G)), "Found in Rollup", "MISSING in Rollup"))</f>
        <v>MISSING in Rollup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ht="15.75" customHeight="1">
      <c r="A202" s="2" t="s">
        <v>356</v>
      </c>
      <c r="B202" s="2" t="s">
        <v>1636</v>
      </c>
      <c r="C202" s="2" t="s">
        <v>1637</v>
      </c>
      <c r="D202" s="12" t="str">
        <f>IFERROR(__xludf.DUMMYFUNCTION("REGEXEXTRACT(E202, ""^(?:https?:\/\/)?(?:www\.)?([^\/]+)"")"),"utahpost.freshdesk.com")</f>
        <v>utahpost.freshdesk.com</v>
      </c>
      <c r="E202" s="2" t="s">
        <v>1636</v>
      </c>
      <c r="F202" s="2" t="s">
        <v>38</v>
      </c>
      <c r="G202" s="2" t="s">
        <v>52</v>
      </c>
      <c r="H202" s="2" t="s">
        <v>52</v>
      </c>
      <c r="I202" s="2" t="s">
        <v>221</v>
      </c>
      <c r="J202" s="2" t="s">
        <v>1351</v>
      </c>
      <c r="K202" s="9" t="str">
        <f>IF(H202="", "", IF(ISNUMBER(_xlfn.XMATCH(H202, 'Viks State Rollup Sheet'!G:G)), "Found in Rollup", "MISSING in Rollup"))</f>
        <v>MISSING in Rollup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ht="15.75" customHeight="1">
      <c r="A203" s="29" t="s">
        <v>370</v>
      </c>
      <c r="B203" s="29" t="s">
        <v>1639</v>
      </c>
      <c r="C203" s="29" t="e">
        <v>#N/A</v>
      </c>
      <c r="D203" s="12" t="str">
        <f>IFERROR(__xludf.DUMMYFUNCTION("REGEXEXTRACT(E203, ""^(?:https?:\/\/)?(?:www\.)?([^\/]+)"")"),"mydoorway.utah.gov")</f>
        <v>mydoorway.utah.gov</v>
      </c>
      <c r="E203" s="30" t="s">
        <v>1640</v>
      </c>
      <c r="F203" s="29" t="s">
        <v>1641</v>
      </c>
      <c r="G203" s="2" t="s">
        <v>52</v>
      </c>
      <c r="H203" s="2" t="s">
        <v>52</v>
      </c>
      <c r="I203" s="2" t="s">
        <v>221</v>
      </c>
      <c r="J203" s="2" t="s">
        <v>1351</v>
      </c>
      <c r="K203" s="9" t="str">
        <f>IF(H203="", "", IF(ISNUMBER(_xlfn.XMATCH(H203, 'Viks State Rollup Sheet'!G:G)), "Found in Rollup", "MISSING in Rollup"))</f>
        <v>MISSING in Rollup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ht="15.75" customHeight="1">
      <c r="A204" s="2" t="s">
        <v>1417</v>
      </c>
      <c r="B204" s="2" t="s">
        <v>1642</v>
      </c>
      <c r="C204" s="2" t="s">
        <v>1643</v>
      </c>
      <c r="D204" s="12" t="str">
        <f>IFERROR(__xludf.DUMMYFUNCTION("REGEXEXTRACT(E204, ""^(?:https?:\/\/)?(?:www\.)?([^\/]+)"")"),"oneutahsummit.utah.gov")</f>
        <v>oneutahsummit.utah.gov</v>
      </c>
      <c r="E204" s="2" t="s">
        <v>1644</v>
      </c>
      <c r="F204" s="2" t="s">
        <v>38</v>
      </c>
      <c r="G204" s="2" t="s">
        <v>52</v>
      </c>
      <c r="H204" s="2" t="s">
        <v>52</v>
      </c>
      <c r="I204" s="2" t="s">
        <v>221</v>
      </c>
      <c r="J204" s="2" t="s">
        <v>1351</v>
      </c>
      <c r="K204" s="9" t="str">
        <f>IF(H204="", "", IF(ISNUMBER(_xlfn.XMATCH(H204, 'Viks State Rollup Sheet'!G:G)), "Found in Rollup", "MISSING in Rollup"))</f>
        <v>MISSING in Rollup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ht="15.75" customHeight="1">
      <c r="A205" s="2" t="s">
        <v>1171</v>
      </c>
      <c r="B205" s="2" t="s">
        <v>1645</v>
      </c>
      <c r="C205" s="2" t="s">
        <v>1646</v>
      </c>
      <c r="D205" s="12" t="str">
        <f>IFERROR(__xludf.DUMMYFUNCTION("REGEXEXTRACT(E205, ""^(?:https?:\/\/)?(?:www\.)?([^\/]+)"")"),"ewccv.com")</f>
        <v>ewccv.com</v>
      </c>
      <c r="E205" s="2" t="s">
        <v>1648</v>
      </c>
      <c r="F205" s="2" t="s">
        <v>38</v>
      </c>
      <c r="G205" s="2" t="s">
        <v>52</v>
      </c>
      <c r="H205" s="2" t="s">
        <v>52</v>
      </c>
      <c r="I205" s="2" t="s">
        <v>221</v>
      </c>
      <c r="J205" s="2" t="s">
        <v>1351</v>
      </c>
      <c r="K205" s="9" t="str">
        <f>IF(H205="", "", IF(ISNUMBER(_xlfn.XMATCH(H205, 'Viks State Rollup Sheet'!G:G)), "Found in Rollup", "MISSING in Rollup"))</f>
        <v>MISSING in Rollup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ht="15.75" customHeight="1">
      <c r="A206" s="2" t="s">
        <v>1171</v>
      </c>
      <c r="B206" s="2" t="s">
        <v>1649</v>
      </c>
      <c r="C206" s="2" t="s">
        <v>1650</v>
      </c>
      <c r="D206" s="12" t="str">
        <f>IFERROR(__xludf.DUMMYFUNCTION("REGEXEXTRACT(E206, ""^(?:https?:\/\/)?(?:www\.)?([^\/]+)"")"),"mylc.utah.gov")</f>
        <v>mylc.utah.gov</v>
      </c>
      <c r="E206" s="2" t="s">
        <v>1652</v>
      </c>
      <c r="F206" s="2" t="s">
        <v>38</v>
      </c>
      <c r="G206" s="2" t="s">
        <v>52</v>
      </c>
      <c r="H206" s="2" t="s">
        <v>52</v>
      </c>
      <c r="I206" s="2" t="s">
        <v>221</v>
      </c>
      <c r="J206" s="2" t="s">
        <v>1351</v>
      </c>
      <c r="K206" s="9" t="str">
        <f>IF(H206="", "", IF(ISNUMBER(_xlfn.XMATCH(H206, 'Viks State Rollup Sheet'!G:G)), "Found in Rollup", "MISSING in Rollup"))</f>
        <v>MISSING in Rollup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ht="15.75" customHeight="1">
      <c r="A207" s="2" t="s">
        <v>1171</v>
      </c>
      <c r="B207" s="2" t="s">
        <v>1653</v>
      </c>
      <c r="C207" s="2" t="s">
        <v>1650</v>
      </c>
      <c r="D207" s="12" t="str">
        <f>IFERROR(__xludf.DUMMYFUNCTION("REGEXEXTRACT(E207, ""^(?:https?:\/\/)?(?:www\.)?([^\/]+)"")"),"mylc.utah.gov")</f>
        <v>mylc.utah.gov</v>
      </c>
      <c r="E207" s="2" t="s">
        <v>1654</v>
      </c>
      <c r="F207" s="2" t="s">
        <v>38</v>
      </c>
      <c r="G207" s="2" t="s">
        <v>52</v>
      </c>
      <c r="H207" s="2" t="s">
        <v>52</v>
      </c>
      <c r="I207" s="2" t="s">
        <v>221</v>
      </c>
      <c r="J207" s="2" t="s">
        <v>1351</v>
      </c>
      <c r="K207" s="9" t="str">
        <f>IF(H207="", "", IF(ISNUMBER(_xlfn.XMATCH(H207, 'Viks State Rollup Sheet'!G:G)), "Found in Rollup", "MISSING in Rollup"))</f>
        <v>MISSING in Rollup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ht="15.75" customHeight="1">
      <c r="A208" s="2" t="s">
        <v>1171</v>
      </c>
      <c r="B208" s="2" t="s">
        <v>1655</v>
      </c>
      <c r="C208" s="2" t="s">
        <v>1650</v>
      </c>
      <c r="D208" s="12" t="str">
        <f>IFERROR(__xludf.DUMMYFUNCTION("REGEXEXTRACT(E208, ""^(?:https?:\/\/)?(?:www\.)?([^\/]+)"")"),"mylc.utah.gov")</f>
        <v>mylc.utah.gov</v>
      </c>
      <c r="E208" s="2" t="s">
        <v>1656</v>
      </c>
      <c r="F208" s="2" t="s">
        <v>38</v>
      </c>
      <c r="G208" s="2" t="s">
        <v>52</v>
      </c>
      <c r="H208" s="2" t="s">
        <v>52</v>
      </c>
      <c r="I208" s="2" t="s">
        <v>221</v>
      </c>
      <c r="J208" s="2" t="s">
        <v>1351</v>
      </c>
      <c r="K208" s="9" t="str">
        <f>IF(H208="", "", IF(ISNUMBER(_xlfn.XMATCH(H208, 'Viks State Rollup Sheet'!G:G)), "Found in Rollup", "MISSING in Rollup"))</f>
        <v>MISSING in Rollup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ht="15.75" customHeight="1">
      <c r="A209" s="2" t="s">
        <v>1171</v>
      </c>
      <c r="B209" s="2" t="s">
        <v>1657</v>
      </c>
      <c r="C209" s="2" t="s">
        <v>1658</v>
      </c>
      <c r="D209" s="12" t="str">
        <f>IFERROR(__xludf.DUMMYFUNCTION("REGEXEXTRACT(E209, ""^(?:https?:\/\/)?(?:www\.)?([^\/]+)"")"),"webaccess.laborcommission.utah.gov")</f>
        <v>webaccess.laborcommission.utah.gov</v>
      </c>
      <c r="E209" s="2" t="s">
        <v>1660</v>
      </c>
      <c r="F209" s="2" t="s">
        <v>38</v>
      </c>
      <c r="G209" s="2" t="s">
        <v>52</v>
      </c>
      <c r="H209" s="2" t="s">
        <v>52</v>
      </c>
      <c r="I209" s="2" t="s">
        <v>221</v>
      </c>
      <c r="J209" s="2" t="s">
        <v>1351</v>
      </c>
      <c r="K209" s="9" t="str">
        <f>IF(H209="", "", IF(ISNUMBER(_xlfn.XMATCH(H209, 'Viks State Rollup Sheet'!G:G)), "Found in Rollup", "MISSING in Rollup"))</f>
        <v>MISSING in Rollup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ht="15.75" customHeight="1">
      <c r="A210" s="2" t="s">
        <v>1171</v>
      </c>
      <c r="B210" s="2" t="s">
        <v>1662</v>
      </c>
      <c r="C210" s="2" t="s">
        <v>1663</v>
      </c>
      <c r="D210" s="12" t="str">
        <f>IFERROR(__xludf.DUMMYFUNCTION("REGEXEXTRACT(E210, ""^(?:https?:\/\/)?(?:www\.)?([^\/]+)"")"),"webaccess.laborcommission.utah.gov")</f>
        <v>webaccess.laborcommission.utah.gov</v>
      </c>
      <c r="E210" s="2" t="s">
        <v>1664</v>
      </c>
      <c r="F210" s="2" t="s">
        <v>38</v>
      </c>
      <c r="G210" s="2" t="s">
        <v>52</v>
      </c>
      <c r="H210" s="2" t="s">
        <v>52</v>
      </c>
      <c r="I210" s="2" t="s">
        <v>221</v>
      </c>
      <c r="J210" s="2" t="s">
        <v>1351</v>
      </c>
      <c r="K210" s="9" t="str">
        <f>IF(H210="", "", IF(ISNUMBER(_xlfn.XMATCH(H210, 'Viks State Rollup Sheet'!G:G)), "Found in Rollup", "MISSING in Rollup"))</f>
        <v>MISSING in Rollup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ht="15.75" customHeight="1">
      <c r="A211" s="2" t="s">
        <v>1171</v>
      </c>
      <c r="B211" s="2" t="s">
        <v>1665</v>
      </c>
      <c r="C211" s="2" t="s">
        <v>1666</v>
      </c>
      <c r="D211" s="12" t="str">
        <f>IFERROR(__xludf.DUMMYFUNCTION("REGEXEXTRACT(E211, ""^(?:https?:\/\/)?(?:www\.)?([^\/]+)"")"),"webaccess.laborcommission.utah.gov")</f>
        <v>webaccess.laborcommission.utah.gov</v>
      </c>
      <c r="E211" s="2" t="s">
        <v>1667</v>
      </c>
      <c r="F211" s="2" t="s">
        <v>38</v>
      </c>
      <c r="G211" s="2" t="s">
        <v>52</v>
      </c>
      <c r="H211" s="2" t="s">
        <v>52</v>
      </c>
      <c r="I211" s="2" t="s">
        <v>221</v>
      </c>
      <c r="J211" s="2" t="s">
        <v>1351</v>
      </c>
      <c r="K211" s="9" t="str">
        <f>IF(H211="", "", IF(ISNUMBER(_xlfn.XMATCH(H211, 'Viks State Rollup Sheet'!G:G)), "Found in Rollup", "MISSING in Rollup"))</f>
        <v>MISSING in Rollup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ht="15.75" customHeight="1">
      <c r="A212" s="2" t="s">
        <v>1171</v>
      </c>
      <c r="B212" s="2" t="s">
        <v>1668</v>
      </c>
      <c r="C212" s="2" t="s">
        <v>1400</v>
      </c>
      <c r="D212" s="12" t="str">
        <f>IFERROR(__xludf.DUMMYFUNCTION("REGEXEXTRACT(E212, ""^(?:https?:\/\/)?(?:www\.)?([^\/]+)"")"),"webaccess.laborcommission.utah.gov")</f>
        <v>webaccess.laborcommission.utah.gov</v>
      </c>
      <c r="E212" s="2" t="s">
        <v>1669</v>
      </c>
      <c r="F212" s="2" t="s">
        <v>38</v>
      </c>
      <c r="G212" s="2" t="s">
        <v>52</v>
      </c>
      <c r="H212" s="2" t="s">
        <v>52</v>
      </c>
      <c r="I212" s="2" t="s">
        <v>221</v>
      </c>
      <c r="J212" s="2" t="s">
        <v>1351</v>
      </c>
      <c r="K212" s="9" t="str">
        <f>IF(H212="", "", IF(ISNUMBER(_xlfn.XMATCH(H212, 'Viks State Rollup Sheet'!G:G)), "Found in Rollup", "MISSING in Rollup"))</f>
        <v>MISSING in Rollup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ht="15.75" customHeight="1">
      <c r="A213" s="2" t="s">
        <v>1171</v>
      </c>
      <c r="B213" s="2" t="s">
        <v>1671</v>
      </c>
      <c r="C213" s="2" t="s">
        <v>1672</v>
      </c>
      <c r="D213" s="12" t="str">
        <f>IFERROR(__xludf.DUMMYFUNCTION("REGEXEXTRACT(E213, ""^(?:https?:\/\/)?(?:www\.)?([^\/]+)"")"),"webaccess.laborcommission.utah.gov")</f>
        <v>webaccess.laborcommission.utah.gov</v>
      </c>
      <c r="E213" s="2" t="s">
        <v>1673</v>
      </c>
      <c r="F213" s="2" t="s">
        <v>38</v>
      </c>
      <c r="G213" s="2" t="s">
        <v>52</v>
      </c>
      <c r="H213" s="2" t="s">
        <v>52</v>
      </c>
      <c r="I213" s="2" t="s">
        <v>221</v>
      </c>
      <c r="J213" s="2" t="s">
        <v>1351</v>
      </c>
      <c r="K213" s="9" t="str">
        <f>IF(H213="", "", IF(ISNUMBER(_xlfn.XMATCH(H213, 'Viks State Rollup Sheet'!G:G)), "Found in Rollup", "MISSING in Rollup"))</f>
        <v>MISSING in Rollup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ht="15.75" customHeight="1">
      <c r="A214" s="2" t="s">
        <v>1674</v>
      </c>
      <c r="B214" s="2" t="s">
        <v>1675</v>
      </c>
      <c r="C214" s="2" t="s">
        <v>1676</v>
      </c>
      <c r="D214" s="12" t="str">
        <f>IFERROR(__xludf.DUMMYFUNCTION("REGEXEXTRACT(E214, ""^(?:https?:\/\/)?(?:www\.)?([^\/]+)"")"),"151arw.ang.af.mil")</f>
        <v>151arw.ang.af.mil</v>
      </c>
      <c r="E214" s="2" t="s">
        <v>1675</v>
      </c>
      <c r="F214" s="2" t="s">
        <v>38</v>
      </c>
      <c r="G214" s="2" t="s">
        <v>1357</v>
      </c>
      <c r="H214" s="2" t="s">
        <v>52</v>
      </c>
      <c r="I214" s="2" t="s">
        <v>221</v>
      </c>
      <c r="J214" s="2" t="s">
        <v>1351</v>
      </c>
      <c r="K214" s="9" t="str">
        <f>IF(H214="", "", IF(ISNUMBER(_xlfn.XMATCH(H214, 'Viks State Rollup Sheet'!G:G)), "Found in Rollup", "MISSING in Rollup"))</f>
        <v>MISSING in Rollup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ht="15.75" customHeight="1">
      <c r="A215" s="2" t="s">
        <v>1674</v>
      </c>
      <c r="B215" s="2" t="s">
        <v>1694</v>
      </c>
      <c r="C215" s="2" t="s">
        <v>1695</v>
      </c>
      <c r="D215" s="12" t="str">
        <f>IFERROR(__xludf.DUMMYFUNCTION("REGEXEXTRACT(E215, ""^(?:https?:\/\/)?(?:www\.)?([^\/]+)"")"),"fortdouglas.org")</f>
        <v>fortdouglas.org</v>
      </c>
      <c r="E215" s="2" t="s">
        <v>1694</v>
      </c>
      <c r="F215" s="2" t="s">
        <v>38</v>
      </c>
      <c r="G215" s="2" t="s">
        <v>52</v>
      </c>
      <c r="H215" s="2" t="s">
        <v>52</v>
      </c>
      <c r="I215" s="2" t="s">
        <v>221</v>
      </c>
      <c r="J215" s="2" t="s">
        <v>1351</v>
      </c>
      <c r="K215" s="9" t="str">
        <f>IF(H215="", "", IF(ISNUMBER(_xlfn.XMATCH(H215, 'Viks State Rollup Sheet'!G:G)), "Found in Rollup", "MISSING in Rollup"))</f>
        <v>MISSING in Rollup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ht="15.75" customHeight="1">
      <c r="A216" s="18" t="s">
        <v>1674</v>
      </c>
      <c r="B216" s="18" t="s">
        <v>1723</v>
      </c>
      <c r="C216" s="18" t="e">
        <v>#N/A</v>
      </c>
      <c r="D216" s="12" t="str">
        <f>IFERROR(__xludf.DUMMYFUNCTION("REGEXEXTRACT(E216, ""^(?:https?:\/\/)?(?:www\.)?([^\/]+)"")"),"westtraversdev.wpenginepowered.com")</f>
        <v>westtraversdev.wpenginepowered.com</v>
      </c>
      <c r="E216" s="18" t="s">
        <v>1723</v>
      </c>
      <c r="F216" s="18" t="s">
        <v>151</v>
      </c>
      <c r="G216" s="2" t="s">
        <v>152</v>
      </c>
      <c r="H216" s="2" t="s">
        <v>52</v>
      </c>
      <c r="I216" s="2" t="s">
        <v>221</v>
      </c>
      <c r="J216" s="2" t="s">
        <v>1351</v>
      </c>
      <c r="K216" s="9" t="str">
        <f>IF(H216="", "", IF(ISNUMBER(_xlfn.XMATCH(H216, 'Viks State Rollup Sheet'!G:G)), "Found in Rollup", "MISSING in Rollup"))</f>
        <v>MISSING in Rollup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ht="15.75" customHeight="1">
      <c r="A217" s="2" t="s">
        <v>350</v>
      </c>
      <c r="B217" s="2" t="s">
        <v>1725</v>
      </c>
      <c r="C217" s="2" t="s">
        <v>1726</v>
      </c>
      <c r="D217" s="12" t="str">
        <f>IFERROR(__xludf.DUMMYFUNCTION("REGEXEXTRACT(E217, ""^(?:https?:\/\/)?(?:www\.)?([^\/]+)"")"),"agbusiness.utah.gov")</f>
        <v>agbusiness.utah.gov</v>
      </c>
      <c r="E217" s="12" t="s">
        <v>1725</v>
      </c>
      <c r="F217" s="2" t="s">
        <v>38</v>
      </c>
      <c r="G217" s="2" t="s">
        <v>52</v>
      </c>
      <c r="H217" s="2" t="s">
        <v>52</v>
      </c>
      <c r="I217" s="2" t="s">
        <v>221</v>
      </c>
      <c r="J217" s="2" t="s">
        <v>1351</v>
      </c>
      <c r="K217" s="9" t="str">
        <f>IF(H217="", "", IF(ISNUMBER(_xlfn.XMATCH(H217, 'Viks State Rollup Sheet'!G:G)), "Found in Rollup", "MISSING in Rollup"))</f>
        <v>MISSING in Rollup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ht="15.75" customHeight="1">
      <c r="A218" s="2" t="s">
        <v>350</v>
      </c>
      <c r="B218" s="2" t="s">
        <v>1728</v>
      </c>
      <c r="C218" s="2" t="s">
        <v>1729</v>
      </c>
      <c r="D218" s="12" t="str">
        <f>IFERROR(__xludf.DUMMYFUNCTION("REGEXEXTRACT(E218, ""^(?:https?:\/\/)?(?:www\.)?([^\/]+)"")"),"arcgis.com")</f>
        <v>arcgis.com</v>
      </c>
      <c r="E218" s="2" t="s">
        <v>1728</v>
      </c>
      <c r="F218" s="2" t="s">
        <v>38</v>
      </c>
      <c r="G218" s="2" t="s">
        <v>52</v>
      </c>
      <c r="H218" s="2" t="s">
        <v>52</v>
      </c>
      <c r="I218" s="2" t="s">
        <v>221</v>
      </c>
      <c r="J218" s="2" t="s">
        <v>1351</v>
      </c>
      <c r="K218" s="9" t="str">
        <f>IF(H218="", "", IF(ISNUMBER(_xlfn.XMATCH(H218, 'Viks State Rollup Sheet'!G:G)), "Found in Rollup", "MISSING in Rollup"))</f>
        <v>MISSING in Rollup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ht="15.75" customHeight="1">
      <c r="A219" s="2" t="s">
        <v>350</v>
      </c>
      <c r="B219" s="2" t="s">
        <v>1732</v>
      </c>
      <c r="C219" s="2" t="s">
        <v>1729</v>
      </c>
      <c r="D219" s="12" t="str">
        <f>IFERROR(__xludf.DUMMYFUNCTION("REGEXEXTRACT(E219, ""^(?:https?:\/\/)?(?:www\.)?([^\/]+)"")"),"arcgis.com")</f>
        <v>arcgis.com</v>
      </c>
      <c r="E219" s="2" t="s">
        <v>1732</v>
      </c>
      <c r="F219" s="2" t="s">
        <v>38</v>
      </c>
      <c r="G219" s="2" t="s">
        <v>52</v>
      </c>
      <c r="H219" s="2" t="s">
        <v>52</v>
      </c>
      <c r="I219" s="2" t="s">
        <v>221</v>
      </c>
      <c r="J219" s="2" t="s">
        <v>1351</v>
      </c>
      <c r="K219" s="9" t="str">
        <f>IF(H219="", "", IF(ISNUMBER(_xlfn.XMATCH(H219, 'Viks State Rollup Sheet'!G:G)), "Found in Rollup", "MISSING in Rollup"))</f>
        <v>MISSING in Rollup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ht="15.75" customHeight="1">
      <c r="A220" s="2" t="s">
        <v>350</v>
      </c>
      <c r="B220" s="2" t="s">
        <v>1733</v>
      </c>
      <c r="C220" s="2" t="s">
        <v>1734</v>
      </c>
      <c r="D220" s="12" t="str">
        <f>IFERROR(__xludf.DUMMYFUNCTION("REGEXEXTRACT(E220, ""^(?:https?:\/\/)?(?:www\.)?([^\/]+)"")"),"arcgis.eddmaps.org")</f>
        <v>arcgis.eddmaps.org</v>
      </c>
      <c r="E220" s="2" t="s">
        <v>1733</v>
      </c>
      <c r="F220" s="2" t="s">
        <v>38</v>
      </c>
      <c r="G220" s="2" t="s">
        <v>52</v>
      </c>
      <c r="H220" s="2" t="s">
        <v>52</v>
      </c>
      <c r="I220" s="2" t="s">
        <v>221</v>
      </c>
      <c r="J220" s="2" t="s">
        <v>1351</v>
      </c>
      <c r="K220" s="9" t="str">
        <f>IF(H220="", "", IF(ISNUMBER(_xlfn.XMATCH(H220, 'Viks State Rollup Sheet'!G:G)), "Found in Rollup", "MISSING in Rollup"))</f>
        <v>MISSING in Rollup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ht="15.75" customHeight="1">
      <c r="A221" s="2" t="s">
        <v>350</v>
      </c>
      <c r="B221" s="2" t="s">
        <v>1736</v>
      </c>
      <c r="C221" s="2" t="s">
        <v>1737</v>
      </c>
      <c r="D221" s="12" t="str">
        <f>IFERROR(__xludf.DUMMYFUNCTION("REGEXEXTRACT(E221, ""^(?:https?:\/\/)?(?:www\.)?([^\/]+)"")"),"experience.arcgis.com")</f>
        <v>experience.arcgis.com</v>
      </c>
      <c r="E221" s="2" t="s">
        <v>1736</v>
      </c>
      <c r="F221" s="2" t="s">
        <v>38</v>
      </c>
      <c r="G221" s="2" t="s">
        <v>52</v>
      </c>
      <c r="H221" s="2" t="s">
        <v>52</v>
      </c>
      <c r="I221" s="2" t="s">
        <v>221</v>
      </c>
      <c r="J221" s="2" t="s">
        <v>1351</v>
      </c>
      <c r="K221" s="9" t="str">
        <f>IF(H221="", "", IF(ISNUMBER(_xlfn.XMATCH(H221, 'Viks State Rollup Sheet'!G:G)), "Found in Rollup", "MISSING in Rollup"))</f>
        <v>MISSING in Rollup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 ht="15.75" customHeight="1">
      <c r="A222" s="2" t="s">
        <v>350</v>
      </c>
      <c r="B222" s="2" t="s">
        <v>1740</v>
      </c>
      <c r="C222" s="2" t="s">
        <v>1741</v>
      </c>
      <c r="D222" s="12" t="str">
        <f>IFERROR(__xludf.DUMMYFUNCTION("REGEXEXTRACT(E222, ""^(?:https?:\/\/)?(?:www\.)?([^\/]+)"")"),"storymaps.arcgis.com")</f>
        <v>storymaps.arcgis.com</v>
      </c>
      <c r="E222" s="2" t="s">
        <v>1740</v>
      </c>
      <c r="F222" s="2" t="s">
        <v>38</v>
      </c>
      <c r="G222" s="2" t="s">
        <v>52</v>
      </c>
      <c r="H222" s="2" t="s">
        <v>52</v>
      </c>
      <c r="I222" s="2" t="s">
        <v>221</v>
      </c>
      <c r="J222" s="2" t="s">
        <v>1351</v>
      </c>
      <c r="K222" s="9" t="str">
        <f>IF(H222="", "", IF(ISNUMBER(_xlfn.XMATCH(H222, 'Viks State Rollup Sheet'!G:G)), "Found in Rollup", "MISSING in Rollup"))</f>
        <v>MISSING in Rollup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ht="15.75" customHeight="1">
      <c r="A223" s="2" t="s">
        <v>350</v>
      </c>
      <c r="B223" s="2" t="s">
        <v>1743</v>
      </c>
      <c r="C223" s="2" t="s">
        <v>1744</v>
      </c>
      <c r="D223" s="12" t="str">
        <f>IFERROR(__xludf.DUMMYFUNCTION("REGEXEXTRACT(E223, ""^(?:https?:\/\/)?(?:www\.)?([^\/]+)"")"),"utah-hub-usg.hub.arcgis.com")</f>
        <v>utah-hub-usg.hub.arcgis.com</v>
      </c>
      <c r="E223" s="2" t="s">
        <v>1743</v>
      </c>
      <c r="F223" s="2" t="s">
        <v>38</v>
      </c>
      <c r="G223" s="2" t="s">
        <v>52</v>
      </c>
      <c r="H223" s="2" t="s">
        <v>52</v>
      </c>
      <c r="I223" s="2" t="s">
        <v>221</v>
      </c>
      <c r="J223" s="2" t="s">
        <v>1351</v>
      </c>
      <c r="K223" s="9" t="str">
        <f>IF(H223="", "", IF(ISNUMBER(_xlfn.XMATCH(H223, 'Viks State Rollup Sheet'!G:G)), "Found in Rollup", "MISSING in Rollup"))</f>
        <v>MISSING in Rollup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 ht="15.75" customHeight="1">
      <c r="A224" s="2" t="s">
        <v>483</v>
      </c>
      <c r="B224" s="2" t="s">
        <v>1746</v>
      </c>
      <c r="C224" s="2" t="s">
        <v>1400</v>
      </c>
      <c r="D224" s="12" t="str">
        <f>IFERROR(__xludf.DUMMYFUNCTION("REGEXEXTRACT(E224, ""^(?:https?:\/\/)?(?:www\.)?([^\/]+)"")"),"udc.utah.gov")</f>
        <v>udc.utah.gov</v>
      </c>
      <c r="E224" s="2" t="s">
        <v>1747</v>
      </c>
      <c r="F224" s="2" t="s">
        <v>38</v>
      </c>
      <c r="G224" s="2" t="s">
        <v>52</v>
      </c>
      <c r="H224" s="2" t="s">
        <v>52</v>
      </c>
      <c r="I224" s="2" t="s">
        <v>221</v>
      </c>
      <c r="J224" s="2" t="s">
        <v>1351</v>
      </c>
      <c r="K224" s="9" t="str">
        <f>IF(H224="", "", IF(ISNUMBER(_xlfn.XMATCH(H224, 'Viks State Rollup Sheet'!G:G)), "Found in Rollup", "MISSING in Rollup"))</f>
        <v>MISSING in Rollup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 ht="15.75" customHeight="1">
      <c r="A225" s="22" t="s">
        <v>473</v>
      </c>
      <c r="B225" s="22" t="s">
        <v>1748</v>
      </c>
      <c r="C225" s="22" t="s">
        <v>1748</v>
      </c>
      <c r="D225" s="12" t="str">
        <f>IFERROR(__xludf.DUMMYFUNCTION("REGEXEXTRACT(E225, ""^(?:https?:\/\/)?(?:www\.)?([^\/]+)"")"),"udot.utah.gov")</f>
        <v>udot.utah.gov</v>
      </c>
      <c r="E225" s="23" t="s">
        <v>1750</v>
      </c>
      <c r="F225" s="22" t="s">
        <v>278</v>
      </c>
      <c r="G225" s="2" t="s">
        <v>52</v>
      </c>
      <c r="H225" s="2" t="s">
        <v>52</v>
      </c>
      <c r="I225" s="2" t="s">
        <v>221</v>
      </c>
      <c r="J225" s="2" t="s">
        <v>1351</v>
      </c>
      <c r="K225" s="9" t="str">
        <f>IF(H225="", "", IF(ISNUMBER(_xlfn.XMATCH(H225, 'Viks State Rollup Sheet'!G:G)), "Found in Rollup", "MISSING in Rollup"))</f>
        <v>MISSING in Rollup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 ht="15.75" customHeight="1">
      <c r="A226" s="2" t="s">
        <v>473</v>
      </c>
      <c r="B226" s="2" t="s">
        <v>1751</v>
      </c>
      <c r="C226" s="2" t="s">
        <v>1752</v>
      </c>
      <c r="D226" s="12" t="str">
        <f>IFERROR(__xludf.DUMMYFUNCTION("REGEXEXTRACT(E226, ""^(?:https?:\/\/)?(?:www\.)?([^\/]+)"")"),"udot.utah.gov")</f>
        <v>udot.utah.gov</v>
      </c>
      <c r="E226" s="2" t="s">
        <v>1753</v>
      </c>
      <c r="F226" s="2" t="s">
        <v>38</v>
      </c>
      <c r="G226" s="2" t="s">
        <v>52</v>
      </c>
      <c r="H226" s="2" t="s">
        <v>52</v>
      </c>
      <c r="I226" s="2" t="s">
        <v>221</v>
      </c>
      <c r="J226" s="2" t="s">
        <v>1351</v>
      </c>
      <c r="K226" s="9" t="str">
        <f>IF(H226="", "", IF(ISNUMBER(_xlfn.XMATCH(H226, 'Viks State Rollup Sheet'!G:G)), "Found in Rollup", "MISSING in Rollup"))</f>
        <v>MISSING in Rollup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 ht="15.75" customHeight="1">
      <c r="A227" s="2" t="s">
        <v>1754</v>
      </c>
      <c r="B227" s="2" t="s">
        <v>1755</v>
      </c>
      <c r="C227" s="2" t="s">
        <v>1756</v>
      </c>
      <c r="D227" s="12" t="str">
        <f>IFERROR(__xludf.DUMMYFUNCTION("REGEXEXTRACT(E227, ""^(?:https?:\/\/)?(?:www\.)?([^\/]+)"")"),"mvp.tax.utah.gov")</f>
        <v>mvp.tax.utah.gov</v>
      </c>
      <c r="E227" s="2" t="s">
        <v>1757</v>
      </c>
      <c r="F227" s="2" t="s">
        <v>38</v>
      </c>
      <c r="G227" s="2" t="s">
        <v>52</v>
      </c>
      <c r="H227" s="2" t="s">
        <v>52</v>
      </c>
      <c r="I227" s="2" t="s">
        <v>221</v>
      </c>
      <c r="J227" s="2" t="s">
        <v>1351</v>
      </c>
      <c r="K227" s="9" t="str">
        <f>IF(H227="", "", IF(ISNUMBER(_xlfn.XMATCH(H227, 'Viks State Rollup Sheet'!G:G)), "Found in Rollup", "MISSING in Rollup"))</f>
        <v>MISSING in Rollup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 ht="15.75" customHeight="1">
      <c r="A228" s="2" t="s">
        <v>1754</v>
      </c>
      <c r="B228" s="2" t="s">
        <v>1758</v>
      </c>
      <c r="C228" s="2" t="s">
        <v>1759</v>
      </c>
      <c r="D228" s="12" t="str">
        <f>IFERROR(__xludf.DUMMYFUNCTION("REGEXEXTRACT(E228, ""^(?:https?:\/\/)?(?:www\.)?([^\/]+)"")"),"tap.utah.gov")</f>
        <v>tap.utah.gov</v>
      </c>
      <c r="E228" s="2" t="s">
        <v>1760</v>
      </c>
      <c r="F228" s="2" t="s">
        <v>38</v>
      </c>
      <c r="G228" s="2" t="s">
        <v>52</v>
      </c>
      <c r="H228" s="2" t="s">
        <v>52</v>
      </c>
      <c r="I228" s="2" t="s">
        <v>221</v>
      </c>
      <c r="J228" s="2" t="s">
        <v>1351</v>
      </c>
      <c r="K228" s="9" t="str">
        <f>IF(H228="", "", IF(ISNUMBER(_xlfn.XMATCH(H228, 'Viks State Rollup Sheet'!G:G)), "Found in Rollup", "MISSING in Rollup"))</f>
        <v>MISSING in Rollup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 ht="15.75" customHeight="1">
      <c r="A229" s="2" t="s">
        <v>47</v>
      </c>
      <c r="B229" s="2" t="s">
        <v>1831</v>
      </c>
      <c r="C229" s="2" t="s">
        <v>1832</v>
      </c>
      <c r="D229" s="12" t="str">
        <f>IFERROR(__xludf.DUMMYFUNCTION("REGEXEXTRACT(E229, ""^(?:https?:\/\/)?(?:www\.)?([^\/]+)"")"),"utahstemgrants.smapply.io")</f>
        <v>utahstemgrants.smapply.io</v>
      </c>
      <c r="E229" s="2" t="s">
        <v>1831</v>
      </c>
      <c r="F229" s="2" t="s">
        <v>38</v>
      </c>
      <c r="G229" s="2" t="s">
        <v>52</v>
      </c>
      <c r="H229" s="2" t="s">
        <v>1834</v>
      </c>
      <c r="I229" s="2" t="s">
        <v>221</v>
      </c>
      <c r="J229" s="4" t="s">
        <v>222</v>
      </c>
      <c r="K229" s="9" t="str">
        <f>IF(H229="", "", IF(ISNUMBER(_xlfn.XMATCH(H229, 'Viks State Rollup Sheet'!G:G)), "Found in Rollup", "MISSING in Rollup"))</f>
        <v>MISSING in Rollup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 ht="15.75" customHeight="1">
      <c r="A230" s="2" t="s">
        <v>268</v>
      </c>
      <c r="B230" s="2" t="s">
        <v>303</v>
      </c>
      <c r="C230" s="2" t="s">
        <v>304</v>
      </c>
      <c r="D230" s="12" t="str">
        <f>IFERROR(__xludf.DUMMYFUNCTION("REGEXEXTRACT(E230, ""^(?:https?:\/\/)?(?:www\.)?([^\/]+)"")"),"parentsempowered.org")</f>
        <v>parentsempowered.org</v>
      </c>
      <c r="E230" s="2" t="s">
        <v>305</v>
      </c>
      <c r="F230" s="2" t="s">
        <v>38</v>
      </c>
      <c r="G230" s="2" t="s">
        <v>306</v>
      </c>
      <c r="H230" s="31" t="s">
        <v>307</v>
      </c>
      <c r="I230" s="2" t="s">
        <v>221</v>
      </c>
      <c r="J230" s="4" t="s">
        <v>222</v>
      </c>
      <c r="K230" s="9" t="str">
        <f>IF(H230="", "", IF(ISNUMBER(_xlfn.XMATCH(H230, 'Viks State Rollup Sheet'!G:G)), "Found in Rollup", "MISSING in Rollup"))</f>
        <v>MISSING in Rollup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 ht="15.75" customHeight="1">
      <c r="A231" s="22" t="s">
        <v>340</v>
      </c>
      <c r="B231" s="22" t="s">
        <v>1761</v>
      </c>
      <c r="C231" s="22" t="s">
        <v>1761</v>
      </c>
      <c r="D231" s="32" t="str">
        <f>IFERROR(__xludf.DUMMYFUNCTION("REGEXEXTRACT(E231, ""^(?:https?:\/\/)?(?:www\.)?([^\/]+)"")"),"chrome-extension:")</f>
        <v>chrome-extension:</v>
      </c>
      <c r="E231" s="33" t="s">
        <v>1763</v>
      </c>
      <c r="F231" s="22" t="s">
        <v>278</v>
      </c>
      <c r="G231" s="2" t="s">
        <v>91</v>
      </c>
      <c r="H231" s="2" t="s">
        <v>1764</v>
      </c>
      <c r="I231" s="2" t="s">
        <v>221</v>
      </c>
      <c r="J231" s="4" t="s">
        <v>222</v>
      </c>
      <c r="K231" s="9" t="str">
        <f>IF(H231="", "", IF(ISNUMBER(_xlfn.XMATCH(H231, 'Viks State Rollup Sheet'!G:G)), "Found in Rollup", "MISSING in Rollup"))</f>
        <v>MISSING in Rollup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 ht="15.75" customHeight="1">
      <c r="A232" s="22" t="s">
        <v>340</v>
      </c>
      <c r="B232" s="22" t="s">
        <v>1765</v>
      </c>
      <c r="C232" s="22" t="s">
        <v>1765</v>
      </c>
      <c r="D232" s="32" t="str">
        <f>IFERROR(__xludf.DUMMYFUNCTION("REGEXEXTRACT(E232, ""^(?:https?:\/\/)?(?:www\.)?([^\/]+)"")"),"chrome-extension:")</f>
        <v>chrome-extension:</v>
      </c>
      <c r="E232" s="33" t="s">
        <v>1766</v>
      </c>
      <c r="F232" s="22" t="s">
        <v>278</v>
      </c>
      <c r="G232" s="2" t="s">
        <v>91</v>
      </c>
      <c r="H232" s="2" t="s">
        <v>1764</v>
      </c>
      <c r="I232" s="2" t="s">
        <v>221</v>
      </c>
      <c r="J232" s="4" t="s">
        <v>222</v>
      </c>
      <c r="K232" s="9" t="str">
        <f>IF(H232="", "", IF(ISNUMBER(_xlfn.XMATCH(H232, 'Viks State Rollup Sheet'!G:G)), "Found in Rollup", "MISSING in Rollup"))</f>
        <v>MISSING in Rollup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 ht="15.75" customHeight="1">
      <c r="A233" s="22" t="s">
        <v>340</v>
      </c>
      <c r="B233" s="22" t="s">
        <v>1768</v>
      </c>
      <c r="C233" s="22" t="s">
        <v>1768</v>
      </c>
      <c r="D233" s="32" t="str">
        <f>IFERROR(__xludf.DUMMYFUNCTION("REGEXEXTRACT(E233, ""^(?:https?:\/\/)?(?:www\.)?([^\/]+)"")"),"chrome-extension:")</f>
        <v>chrome-extension:</v>
      </c>
      <c r="E233" s="33" t="s">
        <v>1769</v>
      </c>
      <c r="F233" s="22" t="s">
        <v>278</v>
      </c>
      <c r="G233" s="2" t="s">
        <v>91</v>
      </c>
      <c r="H233" s="2" t="s">
        <v>1764</v>
      </c>
      <c r="I233" s="2" t="s">
        <v>221</v>
      </c>
      <c r="J233" s="4" t="s">
        <v>222</v>
      </c>
      <c r="K233" s="9" t="str">
        <f>IF(H233="", "", IF(ISNUMBER(_xlfn.XMATCH(H233, 'Viks State Rollup Sheet'!G:G)), "Found in Rollup", "MISSING in Rollup"))</f>
        <v>MISSING in Rollup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 ht="15.75" customHeight="1">
      <c r="A234" s="22" t="s">
        <v>340</v>
      </c>
      <c r="B234" s="22" t="s">
        <v>1770</v>
      </c>
      <c r="C234" s="22" t="s">
        <v>1770</v>
      </c>
      <c r="D234" s="32" t="str">
        <f>IFERROR(__xludf.DUMMYFUNCTION("REGEXEXTRACT(E234, ""^(?:https?:\/\/)?(?:www\.)?([^\/]+)"")"),"chrome-extension:")</f>
        <v>chrome-extension:</v>
      </c>
      <c r="E234" s="33" t="s">
        <v>1771</v>
      </c>
      <c r="F234" s="22" t="s">
        <v>278</v>
      </c>
      <c r="G234" s="2" t="s">
        <v>91</v>
      </c>
      <c r="H234" s="2" t="s">
        <v>1764</v>
      </c>
      <c r="I234" s="2" t="s">
        <v>221</v>
      </c>
      <c r="J234" s="4" t="s">
        <v>222</v>
      </c>
      <c r="K234" s="9" t="str">
        <f>IF(H234="", "", IF(ISNUMBER(_xlfn.XMATCH(H234, 'Viks State Rollup Sheet'!G:G)), "Found in Rollup", "MISSING in Rollup"))</f>
        <v>MISSING in Rollup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 ht="15.75" customHeight="1">
      <c r="A235" s="22" t="s">
        <v>340</v>
      </c>
      <c r="B235" s="22" t="s">
        <v>1772</v>
      </c>
      <c r="C235" s="22" t="s">
        <v>1772</v>
      </c>
      <c r="D235" s="32" t="str">
        <f>IFERROR(__xludf.DUMMYFUNCTION("REGEXEXTRACT(E235, ""^(?:https?:\/\/)?(?:www\.)?([^\/]+)"")"),"chrome-extension:")</f>
        <v>chrome-extension:</v>
      </c>
      <c r="E235" s="33" t="s">
        <v>1773</v>
      </c>
      <c r="F235" s="22" t="s">
        <v>278</v>
      </c>
      <c r="G235" s="2" t="s">
        <v>91</v>
      </c>
      <c r="H235" s="2" t="s">
        <v>1764</v>
      </c>
      <c r="I235" s="2" t="s">
        <v>221</v>
      </c>
      <c r="J235" s="4" t="s">
        <v>222</v>
      </c>
      <c r="K235" s="9" t="str">
        <f>IF(H235="", "", IF(ISNUMBER(_xlfn.XMATCH(H235, 'Viks State Rollup Sheet'!G:G)), "Found in Rollup", "MISSING in Rollup"))</f>
        <v>MISSING in Rollup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 ht="15.75" customHeight="1">
      <c r="A236" s="2" t="s">
        <v>340</v>
      </c>
      <c r="B236" s="2" t="s">
        <v>489</v>
      </c>
      <c r="C236" s="2" t="s">
        <v>490</v>
      </c>
      <c r="D236" s="12" t="str">
        <f>IFERROR(__xludf.DUMMYFUNCTION("REGEXEXTRACT(E236, ""^(?:https?:\/\/)?(?:www\.)?([^\/]+)"")"),"enviro.deq.utah.gov")</f>
        <v>enviro.deq.utah.gov</v>
      </c>
      <c r="E236" s="2" t="s">
        <v>492</v>
      </c>
      <c r="F236" s="2" t="s">
        <v>38</v>
      </c>
      <c r="G236" s="2" t="s">
        <v>493</v>
      </c>
      <c r="H236" s="31" t="s">
        <v>494</v>
      </c>
      <c r="I236" s="2" t="s">
        <v>221</v>
      </c>
      <c r="J236" s="4" t="s">
        <v>222</v>
      </c>
      <c r="K236" s="9" t="str">
        <f>IF(H236="", "", IF(ISNUMBER(_xlfn.XMATCH(H236, 'Viks State Rollup Sheet'!G:G)), "Found in Rollup", "MISSING in Rollup"))</f>
        <v>MISSING in Rollup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 ht="15.75" customHeight="1">
      <c r="A237" s="34" t="s">
        <v>547</v>
      </c>
      <c r="B237" s="34" t="s">
        <v>1774</v>
      </c>
      <c r="C237" s="34" t="s">
        <v>1774</v>
      </c>
      <c r="D237" s="32" t="str">
        <f>IFERROR(__xludf.DUMMYFUNCTION("REGEXEXTRACT(E237, ""^(?:https?:\/\/)?(?:www\.)?([^\/]+)"")"),"?")</f>
        <v>?</v>
      </c>
      <c r="E237" s="35" t="s">
        <v>1775</v>
      </c>
      <c r="F237" s="34" t="s">
        <v>278</v>
      </c>
      <c r="G237" s="2" t="s">
        <v>91</v>
      </c>
      <c r="H237" s="2" t="s">
        <v>1764</v>
      </c>
      <c r="I237" s="2" t="s">
        <v>221</v>
      </c>
      <c r="J237" s="4" t="s">
        <v>222</v>
      </c>
      <c r="K237" s="9" t="str">
        <f>IF(H237="", "", IF(ISNUMBER(_xlfn.XMATCH(H237, 'Viks State Rollup Sheet'!G:G)), "Found in Rollup", "MISSING in Rollup"))</f>
        <v>MISSING in Rollup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 ht="15.75" customHeight="1">
      <c r="A238" s="34" t="s">
        <v>547</v>
      </c>
      <c r="B238" s="34" t="s">
        <v>1778</v>
      </c>
      <c r="C238" s="34" t="s">
        <v>1778</v>
      </c>
      <c r="D238" s="32" t="str">
        <f>IFERROR(__xludf.DUMMYFUNCTION("REGEXEXTRACT(E238, ""^(?:https?:\/\/)?(?:www\.)?([^\/]+)"")"),"?")</f>
        <v>?</v>
      </c>
      <c r="E238" s="35" t="s">
        <v>1775</v>
      </c>
      <c r="F238" s="34" t="s">
        <v>278</v>
      </c>
      <c r="G238" s="2" t="s">
        <v>91</v>
      </c>
      <c r="H238" s="2" t="s">
        <v>1764</v>
      </c>
      <c r="I238" s="2" t="s">
        <v>221</v>
      </c>
      <c r="J238" s="4" t="s">
        <v>222</v>
      </c>
      <c r="K238" s="9" t="str">
        <f>IF(H238="", "", IF(ISNUMBER(_xlfn.XMATCH(H238, 'Viks State Rollup Sheet'!G:G)), "Found in Rollup", "MISSING in Rollup"))</f>
        <v>MISSING in Rollup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 ht="15.75" customHeight="1">
      <c r="A239" s="34" t="s">
        <v>547</v>
      </c>
      <c r="B239" s="34" t="s">
        <v>1779</v>
      </c>
      <c r="C239" s="34" t="s">
        <v>1779</v>
      </c>
      <c r="D239" s="32" t="str">
        <f>IFERROR(__xludf.DUMMYFUNCTION("REGEXEXTRACT(E239, ""^(?:https?:\/\/)?(?:www\.)?([^\/]+)"")"),"?")</f>
        <v>?</v>
      </c>
      <c r="E239" s="35" t="s">
        <v>1775</v>
      </c>
      <c r="F239" s="34" t="s">
        <v>278</v>
      </c>
      <c r="G239" s="2" t="s">
        <v>91</v>
      </c>
      <c r="H239" s="2" t="s">
        <v>1764</v>
      </c>
      <c r="I239" s="2" t="s">
        <v>221</v>
      </c>
      <c r="J239" s="4" t="s">
        <v>222</v>
      </c>
      <c r="K239" s="9" t="str">
        <f>IF(H239="", "", IF(ISNUMBER(_xlfn.XMATCH(H239, 'Viks State Rollup Sheet'!G:G)), "Found in Rollup", "MISSING in Rollup"))</f>
        <v>MISSING in Rollup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 ht="15.75" customHeight="1">
      <c r="A240" s="22" t="s">
        <v>547</v>
      </c>
      <c r="B240" s="22" t="s">
        <v>1780</v>
      </c>
      <c r="C240" s="22" t="s">
        <v>1780</v>
      </c>
      <c r="D240" s="12" t="str">
        <f>IFERROR(__xludf.DUMMYFUNCTION("REGEXEXTRACT(E240, ""^(?:https?:\/\/)?(?:www\.)?([^\/]+)"")"),"2a57j77qq20y5ehfkbn2udbglnlliy1.antiquities.utah.gov")</f>
        <v>2a57j77qq20y5ehfkbn2udbglnlliy1.antiquities.utah.gov</v>
      </c>
      <c r="E240" s="23" t="s">
        <v>1783</v>
      </c>
      <c r="F240" s="22" t="s">
        <v>278</v>
      </c>
      <c r="G240" s="2" t="s">
        <v>1784</v>
      </c>
      <c r="H240" s="2" t="s">
        <v>1764</v>
      </c>
      <c r="I240" s="2" t="s">
        <v>221</v>
      </c>
      <c r="J240" s="4" t="s">
        <v>222</v>
      </c>
      <c r="K240" s="9" t="str">
        <f>IF(H240="", "", IF(ISNUMBER(_xlfn.XMATCH(H240, 'Viks State Rollup Sheet'!G:G)), "Found in Rollup", "MISSING in Rollup"))</f>
        <v>MISSING in Rollup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 ht="15.75" customHeight="1">
      <c r="A241" s="2" t="s">
        <v>547</v>
      </c>
      <c r="B241" s="2" t="s">
        <v>1165</v>
      </c>
      <c r="C241" s="2" t="s">
        <v>1166</v>
      </c>
      <c r="D241" s="12" t="str">
        <f>IFERROR(__xludf.DUMMYFUNCTION("REGEXEXTRACT(E241, ""^(?:https?:\/\/)?(?:www\.)?([^\/]+)"")"),"gis.utah.gov")</f>
        <v>gis.utah.gov</v>
      </c>
      <c r="E241" s="2" t="s">
        <v>1168</v>
      </c>
      <c r="F241" s="2" t="s">
        <v>38</v>
      </c>
      <c r="G241" s="2" t="s">
        <v>52</v>
      </c>
      <c r="H241" s="31" t="s">
        <v>1169</v>
      </c>
      <c r="I241" s="2" t="s">
        <v>221</v>
      </c>
      <c r="J241" s="4" t="s">
        <v>222</v>
      </c>
      <c r="K241" s="9" t="str">
        <f>IF(H241="", "", IF(ISNUMBER(_xlfn.XMATCH(H241, 'Viks State Rollup Sheet'!G:G)), "Found in Rollup", "MISSING in Rollup"))</f>
        <v>MISSING in Rollup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 ht="15.75" customHeight="1">
      <c r="A242" s="2" t="s">
        <v>547</v>
      </c>
      <c r="B242" s="2" t="s">
        <v>1799</v>
      </c>
      <c r="C242" s="2" t="s">
        <v>1800</v>
      </c>
      <c r="D242" s="12" t="str">
        <f>IFERROR(__xludf.DUMMYFUNCTION("REGEXEXTRACT(E242, ""^(?:https?:\/\/)?(?:www\.)?([^\/]+)"")"),"services.dts.utah.gov")</f>
        <v>services.dts.utah.gov</v>
      </c>
      <c r="E242" s="12" t="s">
        <v>1802</v>
      </c>
      <c r="F242" s="2" t="s">
        <v>38</v>
      </c>
      <c r="G242" s="2" t="s">
        <v>52</v>
      </c>
      <c r="H242" s="2" t="s">
        <v>1764</v>
      </c>
      <c r="I242" s="2" t="s">
        <v>221</v>
      </c>
      <c r="J242" s="4" t="s">
        <v>222</v>
      </c>
      <c r="K242" s="9" t="str">
        <f>IF(H242="", "", IF(ISNUMBER(_xlfn.XMATCH(H242, 'Viks State Rollup Sheet'!G:G)), "Found in Rollup", "MISSING in Rollup"))</f>
        <v>MISSING in Rollup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 ht="15.75" customHeight="1">
      <c r="A243" s="29" t="s">
        <v>696</v>
      </c>
      <c r="B243" s="29" t="s">
        <v>922</v>
      </c>
      <c r="C243" s="29" t="e">
        <v>#N/A</v>
      </c>
      <c r="D243" s="12" t="str">
        <f>IFERROR(__xludf.DUMMYFUNCTION("REGEXEXTRACT(E243, ""^(?:https?:\/\/)?(?:www\.)?([^\/]+)"")"),"bewise.utah.gov")</f>
        <v>bewise.utah.gov</v>
      </c>
      <c r="E243" s="30" t="s">
        <v>923</v>
      </c>
      <c r="F243" s="29" t="s">
        <v>1641</v>
      </c>
      <c r="G243" s="2" t="s">
        <v>1784</v>
      </c>
      <c r="H243" s="2" t="s">
        <v>1764</v>
      </c>
      <c r="I243" s="2" t="s">
        <v>221</v>
      </c>
      <c r="J243" s="4" t="s">
        <v>222</v>
      </c>
      <c r="K243" s="9" t="str">
        <f>IF(H243="", "", IF(ISNUMBER(_xlfn.XMATCH(H243, 'Viks State Rollup Sheet'!G:G)), "Found in Rollup", "MISSING in Rollup"))</f>
        <v>MISSING in Rollup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 ht="15.75" customHeight="1">
      <c r="A244" s="29" t="s">
        <v>696</v>
      </c>
      <c r="B244" s="29" t="s">
        <v>1804</v>
      </c>
      <c r="C244" s="29" t="e">
        <v>#N/A</v>
      </c>
      <c r="D244" s="12" t="str">
        <f>IFERROR(__xludf.DUMMYFUNCTION("REGEXEXTRACT(E244, ""^(?:https?:\/\/)?(?:www\.)?([^\/]+)"")"),"chip.health.utah.gov")</f>
        <v>chip.health.utah.gov</v>
      </c>
      <c r="E244" s="30" t="s">
        <v>1805</v>
      </c>
      <c r="F244" s="29" t="s">
        <v>1641</v>
      </c>
      <c r="G244" s="2" t="s">
        <v>1784</v>
      </c>
      <c r="H244" s="2" t="s">
        <v>1764</v>
      </c>
      <c r="I244" s="2" t="s">
        <v>221</v>
      </c>
      <c r="J244" s="4" t="s">
        <v>222</v>
      </c>
      <c r="K244" s="9" t="str">
        <f>IF(H244="", "", IF(ISNUMBER(_xlfn.XMATCH(H244, 'Viks State Rollup Sheet'!G:G)), "Found in Rollup", "MISSING in Rollup"))</f>
        <v>MISSING in Rollup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 ht="15.75" customHeight="1">
      <c r="A245" s="29" t="s">
        <v>696</v>
      </c>
      <c r="B245" s="29" t="s">
        <v>1806</v>
      </c>
      <c r="C245" s="29" t="e">
        <v>#N/A</v>
      </c>
      <c r="D245" s="12" t="str">
        <f>IFERROR(__xludf.DUMMYFUNCTION("REGEXEXTRACT(E245, ""^(?:https?:\/\/)?(?:www\.)?([^\/]+)"")"),"jjs.utah.gov")</f>
        <v>jjs.utah.gov</v>
      </c>
      <c r="E245" s="30" t="s">
        <v>1807</v>
      </c>
      <c r="F245" s="29" t="s">
        <v>1641</v>
      </c>
      <c r="G245" s="2" t="s">
        <v>1784</v>
      </c>
      <c r="H245" s="2" t="s">
        <v>1764</v>
      </c>
      <c r="I245" s="2" t="s">
        <v>221</v>
      </c>
      <c r="J245" s="4" t="s">
        <v>222</v>
      </c>
      <c r="K245" s="9" t="str">
        <f>IF(H245="", "", IF(ISNUMBER(_xlfn.XMATCH(H245, 'Viks State Rollup Sheet'!G:G)), "Found in Rollup", "MISSING in Rollup"))</f>
        <v>MISSING in Rollup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 ht="15.75" customHeight="1">
      <c r="A246" s="29" t="s">
        <v>696</v>
      </c>
      <c r="B246" s="29" t="s">
        <v>1808</v>
      </c>
      <c r="C246" s="29" t="e">
        <v>#N/A</v>
      </c>
      <c r="D246" s="12" t="str">
        <f>IFERROR(__xludf.DUMMYFUNCTION("REGEXEXTRACT(E246, ""^(?:https?:\/\/)?(?:www\.)?([^\/]+)"")"),"mothertobaby.utah.gov")</f>
        <v>mothertobaby.utah.gov</v>
      </c>
      <c r="E246" s="30" t="s">
        <v>1809</v>
      </c>
      <c r="F246" s="29" t="s">
        <v>1641</v>
      </c>
      <c r="G246" s="2" t="s">
        <v>1784</v>
      </c>
      <c r="H246" s="2" t="s">
        <v>1764</v>
      </c>
      <c r="I246" s="2" t="s">
        <v>221</v>
      </c>
      <c r="J246" s="4" t="s">
        <v>222</v>
      </c>
      <c r="K246" s="9" t="str">
        <f>IF(H246="", "", IF(ISNUMBER(_xlfn.XMATCH(H246, 'Viks State Rollup Sheet'!G:G)), "Found in Rollup", "MISSING in Rollup"))</f>
        <v>MISSING in Rollup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 ht="15.75" customHeight="1">
      <c r="A247" s="2" t="s">
        <v>229</v>
      </c>
      <c r="B247" s="2" t="s">
        <v>1150</v>
      </c>
      <c r="C247" s="2" t="s">
        <v>1151</v>
      </c>
      <c r="D247" s="2" t="s">
        <v>1150</v>
      </c>
      <c r="E247" s="2" t="s">
        <v>1150</v>
      </c>
      <c r="F247" s="2" t="s">
        <v>38</v>
      </c>
      <c r="G247" s="2" t="s">
        <v>52</v>
      </c>
      <c r="H247" s="31" t="s">
        <v>1154</v>
      </c>
      <c r="I247" s="2" t="s">
        <v>221</v>
      </c>
      <c r="J247" s="4" t="s">
        <v>222</v>
      </c>
      <c r="K247" s="9" t="str">
        <f>IF(H247="", "", IF(ISNUMBER(_xlfn.XMATCH(H247, 'Viks State Rollup Sheet'!G:G)), "Found in Rollup", "MISSING in Rollup"))</f>
        <v>MISSING in Rollup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 ht="15.75" customHeight="1">
      <c r="A248" s="2" t="s">
        <v>229</v>
      </c>
      <c r="B248" s="2" t="s">
        <v>230</v>
      </c>
      <c r="C248" s="2" t="s">
        <v>232</v>
      </c>
      <c r="D248" s="12" t="str">
        <f>IFERROR(__xludf.DUMMYFUNCTION("REGEXEXTRACT(E248, ""^(?:https?:\/\/)?(?:www\.)?([^\/]+)"")"),"stateparks.utah.gov")</f>
        <v>stateparks.utah.gov</v>
      </c>
      <c r="E248" s="2" t="s">
        <v>234</v>
      </c>
      <c r="F248" s="2" t="s">
        <v>38</v>
      </c>
      <c r="G248" s="2" t="s">
        <v>52</v>
      </c>
      <c r="H248" s="31" t="s">
        <v>235</v>
      </c>
      <c r="I248" s="2" t="s">
        <v>221</v>
      </c>
      <c r="J248" s="4" t="s">
        <v>222</v>
      </c>
      <c r="K248" s="9" t="str">
        <f>IF(H248="", "", IF(ISNUMBER(_xlfn.XMATCH(H248, 'Viks State Rollup Sheet'!G:G)), "Found in Rollup", "MISSING in Rollup"))</f>
        <v>MISSING in Rollup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 ht="15.75" customHeight="1">
      <c r="A249" s="2" t="s">
        <v>229</v>
      </c>
      <c r="B249" s="2" t="s">
        <v>508</v>
      </c>
      <c r="C249" s="2" t="s">
        <v>509</v>
      </c>
      <c r="D249" s="12" t="str">
        <f>IFERROR(__xludf.DUMMYFUNCTION("REGEXEXTRACT(E249, ""^(?:https?:\/\/)?(?:www\.)?([^\/]+)"")"),"utah-fire-info-utahdnr.hub.arcgis.com")</f>
        <v>utah-fire-info-utahdnr.hub.arcgis.com</v>
      </c>
      <c r="E249" s="2" t="s">
        <v>508</v>
      </c>
      <c r="F249" s="2" t="s">
        <v>38</v>
      </c>
      <c r="G249" s="2" t="s">
        <v>52</v>
      </c>
      <c r="H249" s="31" t="s">
        <v>511</v>
      </c>
      <c r="I249" s="2" t="s">
        <v>221</v>
      </c>
      <c r="J249" s="4" t="s">
        <v>222</v>
      </c>
      <c r="K249" s="9" t="str">
        <f>IF(H249="", "", IF(ISNUMBER(_xlfn.XMATCH(H249, 'Viks State Rollup Sheet'!G:G)), "Found in Rollup", "MISSING in Rollup"))</f>
        <v>MISSING in Rollup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 ht="15.75" customHeight="1">
      <c r="A250" s="2" t="s">
        <v>229</v>
      </c>
      <c r="B250" s="2" t="s">
        <v>1157</v>
      </c>
      <c r="C250" s="2" t="s">
        <v>1158</v>
      </c>
      <c r="D250" s="12" t="str">
        <f>IFERROR(__xludf.DUMMYFUNCTION("REGEXEXTRACT(E250, ""^(?:https?:\/\/)?(?:www\.)?([^\/]+)"")"),"utahfiresense.org")</f>
        <v>utahfiresense.org</v>
      </c>
      <c r="E250" s="2" t="s">
        <v>1157</v>
      </c>
      <c r="F250" s="2" t="s">
        <v>38</v>
      </c>
      <c r="G250" s="2" t="s">
        <v>1160</v>
      </c>
      <c r="H250" s="31" t="s">
        <v>1161</v>
      </c>
      <c r="I250" s="2" t="s">
        <v>221</v>
      </c>
      <c r="J250" s="4" t="s">
        <v>222</v>
      </c>
      <c r="K250" s="9" t="str">
        <f>IF(H250="", "", IF(ISNUMBER(_xlfn.XMATCH(H250, 'Viks State Rollup Sheet'!G:G)), "Found in Rollup", "MISSING in Rollup"))</f>
        <v>MISSING in Rollup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 ht="15.75" customHeight="1">
      <c r="A251" s="2" t="s">
        <v>229</v>
      </c>
      <c r="B251" s="2" t="s">
        <v>812</v>
      </c>
      <c r="C251" s="2" t="s">
        <v>813</v>
      </c>
      <c r="D251" s="12" t="str">
        <f>IFERROR(__xludf.DUMMYFUNCTION("REGEXEXTRACT(E251, ""^(?:https?:\/\/)?(?:www\.)?([^\/]+)"")"),"utahmapstore.com")</f>
        <v>utahmapstore.com</v>
      </c>
      <c r="E251" s="2" t="s">
        <v>812</v>
      </c>
      <c r="F251" s="2" t="s">
        <v>38</v>
      </c>
      <c r="G251" s="2" t="s">
        <v>816</v>
      </c>
      <c r="H251" s="31" t="s">
        <v>817</v>
      </c>
      <c r="I251" s="2" t="s">
        <v>221</v>
      </c>
      <c r="J251" s="4" t="s">
        <v>222</v>
      </c>
      <c r="K251" s="9" t="str">
        <f>IF(H251="", "", IF(ISNUMBER(_xlfn.XMATCH(H251, 'Viks State Rollup Sheet'!G:G)), "Found in Rollup", "MISSING in Rollup"))</f>
        <v>MISSING in Rollup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 ht="15.75" customHeight="1">
      <c r="A252" s="2" t="s">
        <v>229</v>
      </c>
      <c r="B252" s="2" t="s">
        <v>238</v>
      </c>
      <c r="C252" s="2" t="s">
        <v>239</v>
      </c>
      <c r="D252" s="12" t="str">
        <f>IFERROR(__xludf.DUMMYFUNCTION("REGEXEXTRACT(E252, ""^(?:https?:\/\/)?(?:www\.)?([^\/]+)"")"),"utahstateparks.reserveamerica.com")</f>
        <v>utahstateparks.reserveamerica.com</v>
      </c>
      <c r="E252" s="2" t="s">
        <v>238</v>
      </c>
      <c r="F252" s="2" t="s">
        <v>38</v>
      </c>
      <c r="G252" s="2" t="s">
        <v>52</v>
      </c>
      <c r="H252" s="31" t="s">
        <v>242</v>
      </c>
      <c r="I252" s="2" t="s">
        <v>221</v>
      </c>
      <c r="J252" s="4" t="s">
        <v>222</v>
      </c>
      <c r="K252" s="9" t="str">
        <f>IF(H252="", "", IF(ISNUMBER(_xlfn.XMATCH(H252, 'Viks State Rollup Sheet'!G:G)), "Found in Rollup", "MISSING in Rollup"))</f>
        <v>MISSING in Rollup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 ht="15.75" customHeight="1">
      <c r="A253" s="2" t="s">
        <v>229</v>
      </c>
      <c r="B253" s="2" t="s">
        <v>1839</v>
      </c>
      <c r="C253" s="2" t="s">
        <v>1840</v>
      </c>
      <c r="D253" s="12" t="str">
        <f>IFERROR(__xludf.DUMMYFUNCTION("REGEXEXTRACT(E253, ""^(?:https?:\/\/)?(?:www\.)?([^\/]+)"")"),"wildlifelicense.utah.gov")</f>
        <v>wildlifelicense.utah.gov</v>
      </c>
      <c r="E253" s="2" t="s">
        <v>1839</v>
      </c>
      <c r="F253" s="2" t="s">
        <v>38</v>
      </c>
      <c r="G253" s="2" t="s">
        <v>1842</v>
      </c>
      <c r="H253" s="2" t="s">
        <v>1843</v>
      </c>
      <c r="I253" s="2" t="s">
        <v>221</v>
      </c>
      <c r="J253" s="4" t="s">
        <v>222</v>
      </c>
      <c r="K253" s="9" t="str">
        <f>IF(H253="", "", IF(ISNUMBER(_xlfn.XMATCH(H253, 'Viks State Rollup Sheet'!G:G)), "Found in Rollup", "MISSING in Rollup"))</f>
        <v>MISSING in Rollup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 ht="15.75" customHeight="1">
      <c r="A254" s="29" t="s">
        <v>214</v>
      </c>
      <c r="B254" s="29" t="s">
        <v>1810</v>
      </c>
      <c r="C254" s="29" t="s">
        <v>1527</v>
      </c>
      <c r="D254" s="12" t="str">
        <f>IFERROR(__xludf.DUMMYFUNCTION("REGEXEXTRACT(E254, ""^(?:https?:\/\/)?(?:www\.)?([^\/]+)"")"),"db.corporations.utah.gov")</f>
        <v>db.corporations.utah.gov</v>
      </c>
      <c r="E254" s="30" t="s">
        <v>1810</v>
      </c>
      <c r="F254" s="29" t="s">
        <v>1641</v>
      </c>
      <c r="G254" s="2" t="s">
        <v>1784</v>
      </c>
      <c r="H254" s="2" t="s">
        <v>1764</v>
      </c>
      <c r="I254" s="2" t="s">
        <v>221</v>
      </c>
      <c r="J254" s="4" t="s">
        <v>222</v>
      </c>
      <c r="K254" s="9" t="str">
        <f>IF(H254="", "", IF(ISNUMBER(_xlfn.XMATCH(H254, 'Viks State Rollup Sheet'!G:G)), "Found in Rollup", "MISSING in Rollup"))</f>
        <v>MISSING in Rollup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 ht="15.75" customHeight="1">
      <c r="A255" s="29" t="s">
        <v>214</v>
      </c>
      <c r="B255" s="29" t="s">
        <v>1813</v>
      </c>
      <c r="C255" s="29" t="s">
        <v>1527</v>
      </c>
      <c r="D255" s="12" t="str">
        <f>IFERROR(__xludf.DUMMYFUNCTION("REGEXEXTRACT(E255, ""^(?:https?:\/\/)?(?:www\.)?([^\/]+)"")"),"db.corporations.utah.gov")</f>
        <v>db.corporations.utah.gov</v>
      </c>
      <c r="E255" s="30" t="s">
        <v>1813</v>
      </c>
      <c r="F255" s="29" t="s">
        <v>1641</v>
      </c>
      <c r="G255" s="2" t="s">
        <v>1784</v>
      </c>
      <c r="H255" s="2" t="s">
        <v>1764</v>
      </c>
      <c r="I255" s="2" t="s">
        <v>221</v>
      </c>
      <c r="J255" s="4" t="s">
        <v>222</v>
      </c>
      <c r="K255" s="9" t="str">
        <f>IF(H255="", "", IF(ISNUMBER(_xlfn.XMATCH(H255, 'Viks State Rollup Sheet'!G:G)), "Found in Rollup", "MISSING in Rollup"))</f>
        <v>MISSING in Rollup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 ht="15.75" customHeight="1">
      <c r="A256" s="29" t="s">
        <v>214</v>
      </c>
      <c r="B256" s="29" t="s">
        <v>1814</v>
      </c>
      <c r="C256" s="29" t="s">
        <v>1527</v>
      </c>
      <c r="D256" s="12" t="str">
        <f>IFERROR(__xludf.DUMMYFUNCTION("REGEXEXTRACT(E256, ""^(?:https?:\/\/)?(?:www\.)?([^\/]+)"")"),"dcp-egov.commerce.utah.gov")</f>
        <v>dcp-egov.commerce.utah.gov</v>
      </c>
      <c r="E256" s="30" t="s">
        <v>1814</v>
      </c>
      <c r="F256" s="29" t="s">
        <v>1641</v>
      </c>
      <c r="G256" s="2" t="s">
        <v>1784</v>
      </c>
      <c r="H256" s="2" t="s">
        <v>1764</v>
      </c>
      <c r="I256" s="2" t="s">
        <v>221</v>
      </c>
      <c r="J256" s="4" t="s">
        <v>222</v>
      </c>
      <c r="K256" s="9" t="str">
        <f>IF(H256="", "", IF(ISNUMBER(_xlfn.XMATCH(H256, 'Viks State Rollup Sheet'!G:G)), "Found in Rollup", "MISSING in Rollup"))</f>
        <v>MISSING in Rollup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 ht="15.75" customHeight="1">
      <c r="A257" s="2" t="s">
        <v>214</v>
      </c>
      <c r="B257" s="2" t="s">
        <v>825</v>
      </c>
      <c r="C257" s="2" t="s">
        <v>826</v>
      </c>
      <c r="D257" s="2" t="s">
        <v>825</v>
      </c>
      <c r="E257" s="2" t="s">
        <v>825</v>
      </c>
      <c r="F257" s="2" t="s">
        <v>38</v>
      </c>
      <c r="G257" s="2" t="s">
        <v>217</v>
      </c>
      <c r="H257" s="31" t="s">
        <v>828</v>
      </c>
      <c r="I257" s="2" t="s">
        <v>221</v>
      </c>
      <c r="J257" s="4" t="s">
        <v>222</v>
      </c>
      <c r="K257" s="9" t="str">
        <f>IF(H257="", "", IF(ISNUMBER(_xlfn.XMATCH(H257, 'Viks State Rollup Sheet'!G:G)), "Found in Rollup", "MISSING in Rollup"))</f>
        <v>MISSING in Rollup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 ht="15.75" customHeight="1">
      <c r="A258" s="2" t="s">
        <v>214</v>
      </c>
      <c r="B258" s="2" t="s">
        <v>215</v>
      </c>
      <c r="C258" s="2" t="s">
        <v>216</v>
      </c>
      <c r="D258" s="2" t="s">
        <v>215</v>
      </c>
      <c r="E258" s="2" t="s">
        <v>215</v>
      </c>
      <c r="F258" s="2" t="s">
        <v>38</v>
      </c>
      <c r="G258" s="2" t="s">
        <v>217</v>
      </c>
      <c r="H258" s="31" t="s">
        <v>220</v>
      </c>
      <c r="I258" s="2" t="s">
        <v>221</v>
      </c>
      <c r="J258" s="4" t="s">
        <v>222</v>
      </c>
      <c r="K258" s="9" t="str">
        <f>IF(H258="", "", IF(ISNUMBER(_xlfn.XMATCH(H258, 'Viks State Rollup Sheet'!G:G)), "Found in Rollup", "MISSING in Rollup"))</f>
        <v>MISSING in Rollup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 ht="15.75" customHeight="1">
      <c r="A259" s="18" t="s">
        <v>214</v>
      </c>
      <c r="B259" s="18" t="s">
        <v>832</v>
      </c>
      <c r="C259" s="18" t="e">
        <v>#N/A</v>
      </c>
      <c r="D259" s="18" t="s">
        <v>832</v>
      </c>
      <c r="E259" s="18" t="s">
        <v>832</v>
      </c>
      <c r="F259" s="18" t="s">
        <v>151</v>
      </c>
      <c r="G259" s="2" t="s">
        <v>217</v>
      </c>
      <c r="H259" s="31" t="s">
        <v>834</v>
      </c>
      <c r="I259" s="2" t="s">
        <v>221</v>
      </c>
      <c r="J259" s="4" t="s">
        <v>222</v>
      </c>
      <c r="K259" s="9" t="str">
        <f>IF(H259="", "", IF(ISNUMBER(_xlfn.XMATCH(H259, 'Viks State Rollup Sheet'!G:G)), "Found in Rollup", "MISSING in Rollup"))</f>
        <v>MISSING in Rollup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 ht="15.75" customHeight="1">
      <c r="A260" s="2" t="s">
        <v>214</v>
      </c>
      <c r="B260" s="2" t="s">
        <v>1994</v>
      </c>
      <c r="C260" s="2" t="s">
        <v>1995</v>
      </c>
      <c r="D260" s="2" t="s">
        <v>1994</v>
      </c>
      <c r="E260" s="2" t="s">
        <v>1994</v>
      </c>
      <c r="F260" s="2" t="s">
        <v>38</v>
      </c>
      <c r="G260" s="2" t="s">
        <v>217</v>
      </c>
      <c r="H260" s="2" t="s">
        <v>1996</v>
      </c>
      <c r="I260" s="2" t="s">
        <v>221</v>
      </c>
      <c r="J260" s="4" t="s">
        <v>222</v>
      </c>
      <c r="K260" s="9" t="str">
        <f>IF(H260="", "", IF(ISNUMBER(_xlfn.XMATCH(H260, 'Viks State Rollup Sheet'!G:G)), "Found in Rollup", "MISSING in Rollup"))</f>
        <v>MISSING in Rollup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 ht="15.75" customHeight="1">
      <c r="A261" s="2" t="s">
        <v>356</v>
      </c>
      <c r="B261" s="2" t="s">
        <v>1194</v>
      </c>
      <c r="C261" s="2" t="s">
        <v>1196</v>
      </c>
      <c r="D261" s="12" t="str">
        <f>IFERROR(__xludf.DUMMYFUNCTION("REGEXEXTRACT(E261, ""^(?:https?:\/\/)?(?:www\.)?([^\/]+)"")"),"clickit.utah.gov")</f>
        <v>clickit.utah.gov</v>
      </c>
      <c r="E261" s="2" t="s">
        <v>1198</v>
      </c>
      <c r="F261" s="2" t="s">
        <v>38</v>
      </c>
      <c r="G261" s="2" t="s">
        <v>1199</v>
      </c>
      <c r="H261" s="31" t="s">
        <v>1200</v>
      </c>
      <c r="I261" s="2" t="s">
        <v>221</v>
      </c>
      <c r="J261" s="4" t="s">
        <v>222</v>
      </c>
      <c r="K261" s="9" t="str">
        <f>IF(H261="", "", IF(ISNUMBER(_xlfn.XMATCH(H261, 'Viks State Rollup Sheet'!G:G)), "Found in Rollup", "MISSING in Rollup"))</f>
        <v>MISSING in Rollup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 ht="15.75" customHeight="1">
      <c r="A262" s="2" t="s">
        <v>356</v>
      </c>
      <c r="B262" s="2" t="s">
        <v>358</v>
      </c>
      <c r="C262" s="2" t="s">
        <v>360</v>
      </c>
      <c r="D262" s="12" t="str">
        <f>IFERROR(__xludf.DUMMYFUNCTION("REGEXEXTRACT(E262, ""^(?:https?:\/\/)?(?:www\.)?([^\/]+)"")"),"publicsafetyutah.govqa.us")</f>
        <v>publicsafetyutah.govqa.us</v>
      </c>
      <c r="E262" s="2" t="s">
        <v>358</v>
      </c>
      <c r="F262" s="2" t="s">
        <v>38</v>
      </c>
      <c r="G262" s="2" t="s">
        <v>52</v>
      </c>
      <c r="H262" s="31" t="s">
        <v>364</v>
      </c>
      <c r="I262" s="2" t="s">
        <v>221</v>
      </c>
      <c r="J262" s="4" t="s">
        <v>222</v>
      </c>
      <c r="K262" s="9" t="str">
        <f>IF(H262="", "", IF(ISNUMBER(_xlfn.XMATCH(H262, 'Viks State Rollup Sheet'!G:G)), "Found in Rollup", "MISSING in Rollup"))</f>
        <v>MISSING in Rollup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 ht="15.75" customHeight="1">
      <c r="A263" s="2" t="s">
        <v>356</v>
      </c>
      <c r="B263" s="2" t="s">
        <v>500</v>
      </c>
      <c r="C263" s="2" t="s">
        <v>501</v>
      </c>
      <c r="D263" s="12" t="str">
        <f>IFERROR(__xludf.DUMMYFUNCTION("REGEXEXTRACT(E263, ""^(?:https?:\/\/)?(?:www\.)?([^\/]+)"")"),"ridetolive.utah.gov")</f>
        <v>ridetolive.utah.gov</v>
      </c>
      <c r="E263" s="2" t="s">
        <v>502</v>
      </c>
      <c r="F263" s="2" t="s">
        <v>38</v>
      </c>
      <c r="G263" s="2" t="s">
        <v>503</v>
      </c>
      <c r="H263" s="31" t="s">
        <v>504</v>
      </c>
      <c r="I263" s="2" t="s">
        <v>221</v>
      </c>
      <c r="J263" s="4" t="s">
        <v>222</v>
      </c>
      <c r="K263" s="9" t="str">
        <f>IF(H263="", "", IF(ISNUMBER(_xlfn.XMATCH(H263, 'Viks State Rollup Sheet'!G:G)), "Found in Rollup", "MISSING in Rollup"))</f>
        <v>MISSING in Rollup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 ht="15.75" customHeight="1">
      <c r="A264" s="2" t="s">
        <v>356</v>
      </c>
      <c r="B264" s="2" t="s">
        <v>830</v>
      </c>
      <c r="C264" s="2" t="s">
        <v>826</v>
      </c>
      <c r="D264" s="2" t="s">
        <v>830</v>
      </c>
      <c r="E264" s="2" t="s">
        <v>830</v>
      </c>
      <c r="F264" s="2" t="s">
        <v>38</v>
      </c>
      <c r="G264" s="2" t="s">
        <v>217</v>
      </c>
      <c r="H264" s="31" t="s">
        <v>828</v>
      </c>
      <c r="I264" s="2" t="s">
        <v>221</v>
      </c>
      <c r="J264" s="4" t="s">
        <v>222</v>
      </c>
      <c r="K264" s="9" t="str">
        <f>IF(H264="", "", IF(ISNUMBER(_xlfn.XMATCH(H264, 'Viks State Rollup Sheet'!G:G)), "Found in Rollup", "MISSING in Rollup"))</f>
        <v>MISSING in Rollup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 ht="15.75" customHeight="1">
      <c r="A265" s="2" t="s">
        <v>356</v>
      </c>
      <c r="B265" s="2" t="s">
        <v>497</v>
      </c>
      <c r="C265" s="2" t="s">
        <v>498</v>
      </c>
      <c r="D265" s="2" t="s">
        <v>497</v>
      </c>
      <c r="E265" s="2" t="s">
        <v>497</v>
      </c>
      <c r="F265" s="2" t="s">
        <v>38</v>
      </c>
      <c r="G265" s="2" t="s">
        <v>217</v>
      </c>
      <c r="H265" s="31" t="s">
        <v>499</v>
      </c>
      <c r="I265" s="2" t="s">
        <v>221</v>
      </c>
      <c r="J265" s="4" t="s">
        <v>222</v>
      </c>
      <c r="K265" s="9" t="str">
        <f>IF(H265="", "", IF(ISNUMBER(_xlfn.XMATCH(H265, 'Viks State Rollup Sheet'!G:G)), "Found in Rollup", "MISSING in Rollup"))</f>
        <v>MISSING in Rollup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 ht="15.75" customHeight="1">
      <c r="A266" s="2" t="s">
        <v>370</v>
      </c>
      <c r="B266" s="2" t="s">
        <v>371</v>
      </c>
      <c r="C266" s="2" t="s">
        <v>372</v>
      </c>
      <c r="D266" s="12" t="str">
        <f>IFERROR(__xludf.DUMMYFUNCTION("REGEXEXTRACT(E266, ""^(?:https?:\/\/)?(?:www\.)?([^\/]+)"")"),"apprenticeship.utah.gov")</f>
        <v>apprenticeship.utah.gov</v>
      </c>
      <c r="E266" s="2" t="s">
        <v>371</v>
      </c>
      <c r="F266" s="2" t="s">
        <v>38</v>
      </c>
      <c r="G266" s="2" t="s">
        <v>374</v>
      </c>
      <c r="H266" s="31" t="s">
        <v>375</v>
      </c>
      <c r="I266" s="2" t="s">
        <v>221</v>
      </c>
      <c r="J266" s="4" t="s">
        <v>222</v>
      </c>
      <c r="K266" s="9" t="str">
        <f>IF(H266="", "", IF(ISNUMBER(_xlfn.XMATCH(H266, 'Viks State Rollup Sheet'!G:G)), "Found in Rollup", "MISSING in Rollup"))</f>
        <v>MISSING in Rollup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 ht="15.75" customHeight="1">
      <c r="A267" s="29" t="s">
        <v>370</v>
      </c>
      <c r="B267" s="29" t="s">
        <v>1816</v>
      </c>
      <c r="C267" s="29" t="e">
        <v>#N/A</v>
      </c>
      <c r="D267" s="12" t="str">
        <f>IFERROR(__xludf.DUMMYFUNCTION("REGEXEXTRACT(E267, ""^(?:https?:\/\/)?(?:www\.)?([^\/]+)"")"),"homeownersassistance.utah.gov")</f>
        <v>homeownersassistance.utah.gov</v>
      </c>
      <c r="E267" s="30" t="s">
        <v>1817</v>
      </c>
      <c r="F267" s="29" t="s">
        <v>1641</v>
      </c>
      <c r="G267" s="2" t="s">
        <v>1784</v>
      </c>
      <c r="H267" s="2" t="s">
        <v>1764</v>
      </c>
      <c r="I267" s="2" t="s">
        <v>221</v>
      </c>
      <c r="J267" s="4" t="s">
        <v>222</v>
      </c>
      <c r="K267" s="9" t="str">
        <f>IF(H267="", "", IF(ISNUMBER(_xlfn.XMATCH(H267, 'Viks State Rollup Sheet'!G:G)), "Found in Rollup", "MISSING in Rollup"))</f>
        <v>MISSING in Rollup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 ht="15.75" customHeight="1">
      <c r="A268" s="2" t="s">
        <v>370</v>
      </c>
      <c r="B268" s="2" t="s">
        <v>519</v>
      </c>
      <c r="C268" s="2" t="s">
        <v>520</v>
      </c>
      <c r="D268" s="12" t="str">
        <f>IFERROR(__xludf.DUMMYFUNCTION("REGEXEXTRACT(E268, ""^(?:https?:\/\/)?(?:www\.)?([^\/]+)"")"),"jobs.utah.gov")</f>
        <v>jobs.utah.gov</v>
      </c>
      <c r="E268" s="2" t="s">
        <v>519</v>
      </c>
      <c r="F268" s="2" t="s">
        <v>38</v>
      </c>
      <c r="G268" s="2" t="s">
        <v>52</v>
      </c>
      <c r="H268" s="31" t="s">
        <v>522</v>
      </c>
      <c r="I268" s="2" t="s">
        <v>221</v>
      </c>
      <c r="J268" s="4" t="s">
        <v>222</v>
      </c>
      <c r="K268" s="9" t="str">
        <f>IF(H268="", "", IF(ISNUMBER(_xlfn.XMATCH(H268, 'Viks State Rollup Sheet'!G:G)), "Found in Rollup", "MISSING in Rollup"))</f>
        <v>MISSING in Rollup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 ht="15.75" customHeight="1">
      <c r="A269" s="2" t="s">
        <v>370</v>
      </c>
      <c r="B269" s="2" t="s">
        <v>523</v>
      </c>
      <c r="C269" s="2" t="s">
        <v>525</v>
      </c>
      <c r="D269" s="12" t="str">
        <f>IFERROR(__xludf.DUMMYFUNCTION("REGEXEXTRACT(E269, ""^(?:https?:\/\/)?(?:www\.)?([^\/]+)"")"),"jobs.utah.gov")</f>
        <v>jobs.utah.gov</v>
      </c>
      <c r="E269" s="2" t="s">
        <v>528</v>
      </c>
      <c r="F269" s="2" t="s">
        <v>38</v>
      </c>
      <c r="G269" s="2" t="s">
        <v>529</v>
      </c>
      <c r="H269" s="31" t="s">
        <v>522</v>
      </c>
      <c r="I269" s="2" t="s">
        <v>221</v>
      </c>
      <c r="J269" s="4" t="s">
        <v>222</v>
      </c>
      <c r="K269" s="9" t="str">
        <f>IF(H269="", "", IF(ISNUMBER(_xlfn.XMATCH(H269, 'Viks State Rollup Sheet'!G:G)), "Found in Rollup", "MISSING in Rollup"))</f>
        <v>MISSING in Rollup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 ht="15.75" customHeight="1">
      <c r="A270" s="2" t="s">
        <v>370</v>
      </c>
      <c r="B270" s="2" t="s">
        <v>533</v>
      </c>
      <c r="C270" s="2" t="s">
        <v>534</v>
      </c>
      <c r="D270" s="12" t="str">
        <f>IFERROR(__xludf.DUMMYFUNCTION("REGEXEXTRACT(E270, ""^(?:https?:\/\/)?(?:www\.)?([^\/]+)"")"),"jobs.utah.gov")</f>
        <v>jobs.utah.gov</v>
      </c>
      <c r="E270" s="2" t="s">
        <v>535</v>
      </c>
      <c r="F270" s="2" t="s">
        <v>38</v>
      </c>
      <c r="G270" s="2" t="s">
        <v>52</v>
      </c>
      <c r="H270" s="31" t="s">
        <v>522</v>
      </c>
      <c r="I270" s="2" t="s">
        <v>221</v>
      </c>
      <c r="J270" s="4" t="s">
        <v>222</v>
      </c>
      <c r="K270" s="9" t="str">
        <f>IF(H270="", "", IF(ISNUMBER(_xlfn.XMATCH(H270, 'Viks State Rollup Sheet'!G:G)), "Found in Rollup", "MISSING in Rollup"))</f>
        <v>MISSING in Rollup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 ht="15.75" customHeight="1">
      <c r="A271" s="2" t="s">
        <v>370</v>
      </c>
      <c r="B271" s="2" t="s">
        <v>764</v>
      </c>
      <c r="C271" s="2" t="s">
        <v>766</v>
      </c>
      <c r="D271" s="12" t="str">
        <f>IFERROR(__xludf.DUMMYFUNCTION("REGEXEXTRACT(E271, ""^(?:https?:\/\/)?(?:www\.)?([^\/]+)"")"),"jobs.utah.gov")</f>
        <v>jobs.utah.gov</v>
      </c>
      <c r="E271" s="2" t="s">
        <v>770</v>
      </c>
      <c r="F271" s="2" t="s">
        <v>38</v>
      </c>
      <c r="G271" s="2" t="s">
        <v>529</v>
      </c>
      <c r="H271" s="31" t="s">
        <v>522</v>
      </c>
      <c r="I271" s="2" t="s">
        <v>221</v>
      </c>
      <c r="J271" s="4" t="s">
        <v>222</v>
      </c>
      <c r="K271" s="9" t="str">
        <f>IF(H271="", "", IF(ISNUMBER(_xlfn.XMATCH(H271, 'Viks State Rollup Sheet'!G:G)), "Found in Rollup", "MISSING in Rollup"))</f>
        <v>MISSING in Rollup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 ht="15.75" customHeight="1">
      <c r="A272" s="18" t="s">
        <v>370</v>
      </c>
      <c r="B272" s="18" t="s">
        <v>776</v>
      </c>
      <c r="C272" s="18" t="e">
        <v>#N/A</v>
      </c>
      <c r="D272" s="12" t="str">
        <f>IFERROR(__xludf.DUMMYFUNCTION("REGEXEXTRACT(E272, ""^(?:https?:\/\/)?(?:www\.)?([^\/]+)"")"),"jobs.utah.gov")</f>
        <v>jobs.utah.gov</v>
      </c>
      <c r="E272" s="18" t="s">
        <v>777</v>
      </c>
      <c r="F272" s="18" t="s">
        <v>151</v>
      </c>
      <c r="G272" s="2" t="s">
        <v>152</v>
      </c>
      <c r="H272" s="31" t="s">
        <v>522</v>
      </c>
      <c r="I272" s="2" t="s">
        <v>221</v>
      </c>
      <c r="J272" s="4" t="s">
        <v>222</v>
      </c>
      <c r="K272" s="9" t="str">
        <f>IF(H272="", "", IF(ISNUMBER(_xlfn.XMATCH(H272, 'Viks State Rollup Sheet'!G:G)), "Found in Rollup", "MISSING in Rollup"))</f>
        <v>MISSING in Rollup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 ht="15.75" customHeight="1">
      <c r="A273" s="2" t="s">
        <v>370</v>
      </c>
      <c r="B273" s="2" t="s">
        <v>785</v>
      </c>
      <c r="C273" s="2" t="s">
        <v>786</v>
      </c>
      <c r="D273" s="12" t="str">
        <f>IFERROR(__xludf.DUMMYFUNCTION("REGEXEXTRACT(E273, ""^(?:https?:\/\/)?(?:www\.)?([^\/]+)"")"),"jobs.utah.gov")</f>
        <v>jobs.utah.gov</v>
      </c>
      <c r="E273" s="2" t="s">
        <v>787</v>
      </c>
      <c r="F273" s="2" t="s">
        <v>38</v>
      </c>
      <c r="G273" s="2" t="s">
        <v>52</v>
      </c>
      <c r="H273" s="31" t="s">
        <v>522</v>
      </c>
      <c r="I273" s="2" t="s">
        <v>221</v>
      </c>
      <c r="J273" s="4" t="s">
        <v>222</v>
      </c>
      <c r="K273" s="9" t="str">
        <f>IF(H273="", "", IF(ISNUMBER(_xlfn.XMATCH(H273, 'Viks State Rollup Sheet'!G:G)), "Found in Rollup", "MISSING in Rollup"))</f>
        <v>MISSING in Rollup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 ht="15.75" customHeight="1">
      <c r="A274" s="2" t="s">
        <v>370</v>
      </c>
      <c r="B274" s="2" t="s">
        <v>788</v>
      </c>
      <c r="C274" s="2" t="s">
        <v>789</v>
      </c>
      <c r="D274" s="12" t="str">
        <f>IFERROR(__xludf.DUMMYFUNCTION("REGEXEXTRACT(E274, ""^(?:https?:\/\/)?(?:www\.)?([^\/]+)"")"),"jobs.utah.gov")</f>
        <v>jobs.utah.gov</v>
      </c>
      <c r="E274" s="2" t="s">
        <v>793</v>
      </c>
      <c r="F274" s="2" t="s">
        <v>38</v>
      </c>
      <c r="G274" s="2" t="s">
        <v>52</v>
      </c>
      <c r="H274" s="31" t="s">
        <v>522</v>
      </c>
      <c r="I274" s="2" t="s">
        <v>221</v>
      </c>
      <c r="J274" s="4" t="s">
        <v>222</v>
      </c>
      <c r="K274" s="9" t="str">
        <f>IF(H274="", "", IF(ISNUMBER(_xlfn.XMATCH(H274, 'Viks State Rollup Sheet'!G:G)), "Found in Rollup", "MISSING in Rollup"))</f>
        <v>MISSING in Rollup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 ht="15.75" customHeight="1">
      <c r="A275" s="2" t="s">
        <v>370</v>
      </c>
      <c r="B275" s="2" t="s">
        <v>798</v>
      </c>
      <c r="C275" s="2" t="s">
        <v>799</v>
      </c>
      <c r="D275" s="12" t="str">
        <f>IFERROR(__xludf.DUMMYFUNCTION("REGEXEXTRACT(E275, ""^(?:https?:\/\/)?(?:www\.)?([^\/]+)"")"),"jobs.utah.gov")</f>
        <v>jobs.utah.gov</v>
      </c>
      <c r="E275" s="2" t="s">
        <v>800</v>
      </c>
      <c r="F275" s="2" t="s">
        <v>38</v>
      </c>
      <c r="G275" s="2" t="s">
        <v>52</v>
      </c>
      <c r="H275" s="31" t="s">
        <v>522</v>
      </c>
      <c r="I275" s="2" t="s">
        <v>221</v>
      </c>
      <c r="J275" s="4" t="s">
        <v>222</v>
      </c>
      <c r="K275" s="9" t="str">
        <f>IF(H275="", "", IF(ISNUMBER(_xlfn.XMATCH(H275, 'Viks State Rollup Sheet'!G:G)), "Found in Rollup", "MISSING in Rollup"))</f>
        <v>MISSING in Rollup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 ht="15.75" customHeight="1">
      <c r="A276" s="2" t="s">
        <v>370</v>
      </c>
      <c r="B276" s="2" t="s">
        <v>806</v>
      </c>
      <c r="C276" s="2" t="s">
        <v>808</v>
      </c>
      <c r="D276" s="12" t="str">
        <f>IFERROR(__xludf.DUMMYFUNCTION("REGEXEXTRACT(E276, ""^(?:https?:\/\/)?(?:www\.)?([^\/]+)"")"),"jobs.utah.gov")</f>
        <v>jobs.utah.gov</v>
      </c>
      <c r="E276" s="2" t="s">
        <v>811</v>
      </c>
      <c r="F276" s="2" t="s">
        <v>38</v>
      </c>
      <c r="G276" s="2" t="s">
        <v>52</v>
      </c>
      <c r="H276" s="31" t="s">
        <v>522</v>
      </c>
      <c r="I276" s="2" t="s">
        <v>221</v>
      </c>
      <c r="J276" s="4" t="s">
        <v>222</v>
      </c>
      <c r="K276" s="9" t="str">
        <f>IF(H276="", "", IF(ISNUMBER(_xlfn.XMATCH(H276, 'Viks State Rollup Sheet'!G:G)), "Found in Rollup", "MISSING in Rollup"))</f>
        <v>MISSING in Rollup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 ht="15.75" customHeight="1">
      <c r="A277" s="2" t="s">
        <v>1171</v>
      </c>
      <c r="B277" s="2" t="s">
        <v>1173</v>
      </c>
      <c r="C277" s="2" t="s">
        <v>1174</v>
      </c>
      <c r="D277" s="12" t="str">
        <f>IFERROR(__xludf.DUMMYFUNCTION("REGEXEXTRACT(E277, ""^(?:https?:\/\/)?(?:www\.)?([^\/]+)"")"),"laborcommission.utah.gov")</f>
        <v>laborcommission.utah.gov</v>
      </c>
      <c r="E277" s="2" t="s">
        <v>1175</v>
      </c>
      <c r="F277" s="2" t="s">
        <v>38</v>
      </c>
      <c r="G277" s="2" t="s">
        <v>52</v>
      </c>
      <c r="H277" s="31" t="s">
        <v>1176</v>
      </c>
      <c r="I277" s="2" t="s">
        <v>221</v>
      </c>
      <c r="J277" s="4" t="s">
        <v>222</v>
      </c>
      <c r="K277" s="9" t="str">
        <f>IF(H277="", "", IF(ISNUMBER(_xlfn.XMATCH(H277, 'Viks State Rollup Sheet'!G:G)), "Found in Rollup", "MISSING in Rollup"))</f>
        <v>MISSING in Rollup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 ht="15.75" customHeight="1">
      <c r="A278" s="2" t="s">
        <v>1171</v>
      </c>
      <c r="B278" s="2" t="s">
        <v>1179</v>
      </c>
      <c r="C278" s="2" t="s">
        <v>1181</v>
      </c>
      <c r="D278" s="12" t="str">
        <f>IFERROR(__xludf.DUMMYFUNCTION("REGEXEXTRACT(E278, ""^(?:https?:\/\/)?(?:www\.)?([^\/]+)"")"),"laborcommission.utah.gov")</f>
        <v>laborcommission.utah.gov</v>
      </c>
      <c r="E278" s="14" t="s">
        <v>1182</v>
      </c>
      <c r="F278" s="2" t="s">
        <v>38</v>
      </c>
      <c r="G278" s="2" t="s">
        <v>52</v>
      </c>
      <c r="H278" s="31" t="s">
        <v>1176</v>
      </c>
      <c r="I278" s="2" t="s">
        <v>221</v>
      </c>
      <c r="J278" s="4" t="s">
        <v>222</v>
      </c>
      <c r="K278" s="9" t="str">
        <f>IF(H278="", "", IF(ISNUMBER(_xlfn.XMATCH(H278, 'Viks State Rollup Sheet'!G:G)), "Found in Rollup", "MISSING in Rollup"))</f>
        <v>MISSING in Rollup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 ht="15.75" customHeight="1">
      <c r="A279" s="22" t="s">
        <v>1171</v>
      </c>
      <c r="B279" s="22" t="s">
        <v>1183</v>
      </c>
      <c r="C279" s="22" t="s">
        <v>1183</v>
      </c>
      <c r="D279" s="12" t="str">
        <f>IFERROR(__xludf.DUMMYFUNCTION("REGEXEXTRACT(E279, ""^(?:https?:\/\/)?(?:www\.)?([^\/]+)"")"),"laborcommission.utah.gov")</f>
        <v>laborcommission.utah.gov</v>
      </c>
      <c r="E279" s="23" t="s">
        <v>1184</v>
      </c>
      <c r="F279" s="22" t="s">
        <v>278</v>
      </c>
      <c r="G279" s="2" t="s">
        <v>52</v>
      </c>
      <c r="H279" s="31" t="s">
        <v>1176</v>
      </c>
      <c r="I279" s="2" t="s">
        <v>221</v>
      </c>
      <c r="J279" s="4" t="s">
        <v>222</v>
      </c>
      <c r="K279" s="9" t="str">
        <f>IF(H279="", "", IF(ISNUMBER(_xlfn.XMATCH(H279, 'Viks State Rollup Sheet'!G:G)), "Found in Rollup", "MISSING in Rollup"))</f>
        <v>MISSING in Rollup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 ht="15.75" customHeight="1">
      <c r="A280" s="22" t="s">
        <v>1171</v>
      </c>
      <c r="B280" s="22" t="s">
        <v>1187</v>
      </c>
      <c r="C280" s="22" t="s">
        <v>1187</v>
      </c>
      <c r="D280" s="12" t="str">
        <f>IFERROR(__xludf.DUMMYFUNCTION("REGEXEXTRACT(E280, ""^(?:https?:\/\/)?(?:www\.)?([^\/]+)"")"),"laborcommission.utah.gov")</f>
        <v>laborcommission.utah.gov</v>
      </c>
      <c r="E280" s="23" t="s">
        <v>1184</v>
      </c>
      <c r="F280" s="22" t="s">
        <v>278</v>
      </c>
      <c r="G280" s="2" t="s">
        <v>52</v>
      </c>
      <c r="H280" s="31" t="s">
        <v>1176</v>
      </c>
      <c r="I280" s="2" t="s">
        <v>221</v>
      </c>
      <c r="J280" s="4" t="s">
        <v>222</v>
      </c>
      <c r="K280" s="9" t="str">
        <f>IF(H280="", "", IF(ISNUMBER(_xlfn.XMATCH(H280, 'Viks State Rollup Sheet'!G:G)), "Found in Rollup", "MISSING in Rollup"))</f>
        <v>MISSING in Rollup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 ht="15.75" customHeight="1">
      <c r="A281" s="2" t="s">
        <v>1171</v>
      </c>
      <c r="B281" s="2" t="s">
        <v>1191</v>
      </c>
      <c r="C281" s="2" t="s">
        <v>1192</v>
      </c>
      <c r="D281" s="12" t="str">
        <f>IFERROR(__xludf.DUMMYFUNCTION("REGEXEXTRACT(E281, ""^(?:https?:\/\/)?(?:www\.)?([^\/]+)"")"),"laborcommission.utah.gov")</f>
        <v>laborcommission.utah.gov</v>
      </c>
      <c r="E281" s="2" t="s">
        <v>1191</v>
      </c>
      <c r="F281" s="2" t="s">
        <v>38</v>
      </c>
      <c r="G281" s="2" t="s">
        <v>52</v>
      </c>
      <c r="H281" s="31" t="s">
        <v>1176</v>
      </c>
      <c r="I281" s="2" t="s">
        <v>221</v>
      </c>
      <c r="J281" s="4" t="s">
        <v>222</v>
      </c>
      <c r="K281" s="9" t="str">
        <f>IF(H281="", "", IF(ISNUMBER(_xlfn.XMATCH(H281, 'Viks State Rollup Sheet'!G:G)), "Found in Rollup", "MISSING in Rollup"))</f>
        <v>MISSING in Rollup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 ht="15.75" customHeight="1">
      <c r="A282" s="2" t="s">
        <v>1171</v>
      </c>
      <c r="B282" s="2" t="s">
        <v>1851</v>
      </c>
      <c r="C282" s="2" t="s">
        <v>1852</v>
      </c>
      <c r="D282" s="12" t="str">
        <f>IFERROR(__xludf.DUMMYFUNCTION("REGEXEXTRACT(E282, ""^(?:https?:\/\/)?(?:www\.)?([^\/]+)"")"),"webaccess.laborcommission.utah.gov")</f>
        <v>webaccess.laborcommission.utah.gov</v>
      </c>
      <c r="E282" s="2" t="s">
        <v>1853</v>
      </c>
      <c r="F282" s="2" t="s">
        <v>38</v>
      </c>
      <c r="G282" s="2" t="s">
        <v>52</v>
      </c>
      <c r="H282" s="2" t="s">
        <v>1854</v>
      </c>
      <c r="I282" s="2" t="s">
        <v>221</v>
      </c>
      <c r="J282" s="4" t="s">
        <v>222</v>
      </c>
      <c r="K282" s="9" t="str">
        <f>IF(H282="", "", IF(ISNUMBER(_xlfn.XMATCH(H282, 'Viks State Rollup Sheet'!G:G)), "Found in Rollup", "MISSING in Rollup"))</f>
        <v>MISSING in Rollup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 ht="15.75" customHeight="1">
      <c r="A283" s="2" t="s">
        <v>1171</v>
      </c>
      <c r="B283" s="2" t="s">
        <v>1991</v>
      </c>
      <c r="C283" s="2" t="s">
        <v>1992</v>
      </c>
      <c r="D283" s="12" t="str">
        <f>IFERROR(__xludf.DUMMYFUNCTION("REGEXEXTRACT(E283, ""^(?:https?:\/\/)?(?:www\.)?([^\/]+)"")"),"webaccess.laborcommission.utah.gov")</f>
        <v>webaccess.laborcommission.utah.gov</v>
      </c>
      <c r="E283" s="2" t="s">
        <v>1993</v>
      </c>
      <c r="F283" s="2" t="s">
        <v>38</v>
      </c>
      <c r="G283" s="2" t="s">
        <v>52</v>
      </c>
      <c r="H283" s="2" t="s">
        <v>1854</v>
      </c>
      <c r="I283" s="2" t="s">
        <v>221</v>
      </c>
      <c r="J283" s="4" t="s">
        <v>222</v>
      </c>
      <c r="K283" s="9" t="str">
        <f>IF(H283="", "", IF(ISNUMBER(_xlfn.XMATCH(H283, 'Viks State Rollup Sheet'!G:G)), "Found in Rollup", "MISSING in Rollup"))</f>
        <v>MISSING in Rollup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 ht="15.75" customHeight="1">
      <c r="A284" s="2" t="s">
        <v>1171</v>
      </c>
      <c r="B284" s="2" t="s">
        <v>1835</v>
      </c>
      <c r="C284" s="2" t="s">
        <v>1836</v>
      </c>
      <c r="D284" s="12" t="str">
        <f>IFERROR(__xludf.DUMMYFUNCTION("REGEXEXTRACT(E284, ""^(?:https?:\/\/)?(?:www\.)?([^\/]+)"")"),"webaccess.laborcommission.utah.gov")</f>
        <v>webaccess.laborcommission.utah.gov</v>
      </c>
      <c r="E284" s="2" t="s">
        <v>1837</v>
      </c>
      <c r="F284" s="2" t="s">
        <v>38</v>
      </c>
      <c r="G284" s="2" t="s">
        <v>52</v>
      </c>
      <c r="H284" s="2" t="s">
        <v>1838</v>
      </c>
      <c r="I284" s="2" t="s">
        <v>221</v>
      </c>
      <c r="J284" s="4" t="s">
        <v>222</v>
      </c>
      <c r="K284" s="9" t="str">
        <f>IF(H284="", "", IF(ISNUMBER(_xlfn.XMATCH(H284, 'Viks State Rollup Sheet'!G:G)), "Found in Rollup", "MISSING in Rollup"))</f>
        <v>MISSING in Rollup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 ht="15.75" customHeight="1">
      <c r="A285" s="29" t="s">
        <v>1674</v>
      </c>
      <c r="B285" s="29" t="s">
        <v>1818</v>
      </c>
      <c r="C285" s="29" t="s">
        <v>1527</v>
      </c>
      <c r="D285" s="12" t="str">
        <f>IFERROR(__xludf.DUMMYFUNCTION("REGEXEXTRACT(E285, ""^(?:https?:\/\/)?(?:www\.)?([^\/]+)"")"),"640regiment.com")</f>
        <v>640regiment.com</v>
      </c>
      <c r="E285" s="30" t="s">
        <v>1818</v>
      </c>
      <c r="F285" s="29" t="s">
        <v>1641</v>
      </c>
      <c r="G285" s="2" t="s">
        <v>1784</v>
      </c>
      <c r="H285" s="2" t="s">
        <v>1764</v>
      </c>
      <c r="I285" s="2" t="s">
        <v>221</v>
      </c>
      <c r="J285" s="4" t="s">
        <v>222</v>
      </c>
      <c r="K285" s="9" t="str">
        <f>IF(H285="", "", IF(ISNUMBER(_xlfn.XMATCH(H285, 'Viks State Rollup Sheet'!G:G)), "Found in Rollup", "MISSING in Rollup"))</f>
        <v>MISSING in Rollup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 ht="15.75" customHeight="1">
      <c r="A286" s="2" t="s">
        <v>1674</v>
      </c>
      <c r="B286" s="2" t="s">
        <v>1820</v>
      </c>
      <c r="C286" s="2" t="s">
        <v>1821</v>
      </c>
      <c r="D286" s="12" t="str">
        <f>IFERROR(__xludf.DUMMYFUNCTION("REGEXEXTRACT(E286, ""^(?:https?:\/\/)?(?:www\.)?([^\/]+)"")"),"safeut.org")</f>
        <v>safeut.org</v>
      </c>
      <c r="E286" s="2" t="s">
        <v>1820</v>
      </c>
      <c r="F286" s="2" t="s">
        <v>38</v>
      </c>
      <c r="G286" s="2" t="s">
        <v>1823</v>
      </c>
      <c r="H286" s="2" t="s">
        <v>1764</v>
      </c>
      <c r="I286" s="2" t="s">
        <v>221</v>
      </c>
      <c r="J286" s="4" t="s">
        <v>222</v>
      </c>
      <c r="K286" s="9" t="str">
        <f>IF(H286="", "", IF(ISNUMBER(_xlfn.XMATCH(H286, 'Viks State Rollup Sheet'!G:G)), "Found in Rollup", "MISSING in Rollup"))</f>
        <v>MISSING in Rollup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 ht="15.75" customHeight="1">
      <c r="A287" s="2" t="s">
        <v>350</v>
      </c>
      <c r="B287" s="2" t="s">
        <v>1844</v>
      </c>
      <c r="C287" s="2" t="s">
        <v>1845</v>
      </c>
      <c r="D287" s="12" t="str">
        <f>IFERROR(__xludf.DUMMYFUNCTION("REGEXEXTRACT(E287, ""^(?:https?:\/\/)?(?:www\.)?([^\/]+)"")"),"brands.utah.gov")</f>
        <v>brands.utah.gov</v>
      </c>
      <c r="E287" s="2" t="s">
        <v>1846</v>
      </c>
      <c r="F287" s="2" t="s">
        <v>38</v>
      </c>
      <c r="G287" s="2" t="s">
        <v>52</v>
      </c>
      <c r="H287" s="2" t="s">
        <v>1847</v>
      </c>
      <c r="I287" s="2" t="s">
        <v>221</v>
      </c>
      <c r="J287" s="4" t="s">
        <v>222</v>
      </c>
      <c r="K287" s="9" t="str">
        <f>IF(H287="", "", IF(ISNUMBER(_xlfn.XMATCH(H287, 'Viks State Rollup Sheet'!G:G)), "Found in Rollup", "MISSING in Rollup"))</f>
        <v>MISSING in Rollup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 ht="15.75" customHeight="1">
      <c r="A288" s="2" t="s">
        <v>483</v>
      </c>
      <c r="B288" s="2" t="s">
        <v>513</v>
      </c>
      <c r="C288" s="2" t="s">
        <v>514</v>
      </c>
      <c r="D288" s="12" t="str">
        <f>IFERROR(__xludf.DUMMYFUNCTION("REGEXEXTRACT(E288, ""^(?:https?:\/\/)?(?:www\.)?([^\/]+)"")"),"accesscorrections.com")</f>
        <v>accesscorrections.com</v>
      </c>
      <c r="E288" s="2" t="s">
        <v>513</v>
      </c>
      <c r="F288" s="2" t="s">
        <v>38</v>
      </c>
      <c r="G288" s="2" t="s">
        <v>516</v>
      </c>
      <c r="H288" s="31" t="s">
        <v>517</v>
      </c>
      <c r="I288" s="2" t="s">
        <v>221</v>
      </c>
      <c r="J288" s="4" t="s">
        <v>222</v>
      </c>
      <c r="K288" s="9" t="str">
        <f>IF(H288="", "", IF(ISNUMBER(_xlfn.XMATCH(H288, 'Viks State Rollup Sheet'!G:G)), "Found in Rollup", "MISSING in Rollup"))</f>
        <v>MISSING in Rollup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 ht="15.75" customHeight="1">
      <c r="A289" s="2" t="s">
        <v>483</v>
      </c>
      <c r="B289" s="2" t="s">
        <v>484</v>
      </c>
      <c r="C289" s="2" t="s">
        <v>485</v>
      </c>
      <c r="D289" s="12" t="str">
        <f>IFERROR(__xludf.DUMMYFUNCTION("REGEXEXTRACT(E289, ""^(?:https?:\/\/)?(?:www\.)?([^\/]+)"")"),"public.powerdms.com")</f>
        <v>public.powerdms.com</v>
      </c>
      <c r="E289" s="2" t="s">
        <v>484</v>
      </c>
      <c r="F289" s="2" t="s">
        <v>38</v>
      </c>
      <c r="G289" s="2" t="s">
        <v>52</v>
      </c>
      <c r="H289" s="31" t="s">
        <v>487</v>
      </c>
      <c r="I289" s="2" t="s">
        <v>221</v>
      </c>
      <c r="J289" s="4" t="s">
        <v>222</v>
      </c>
      <c r="K289" s="9" t="str">
        <f>IF(H289="", "", IF(ISNUMBER(_xlfn.XMATCH(H289, 'Viks State Rollup Sheet'!G:G)), "Found in Rollup", "MISSING in Rollup"))</f>
        <v>MISSING in Rollup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 ht="15.75" customHeight="1">
      <c r="A290" s="2" t="s">
        <v>473</v>
      </c>
      <c r="B290" s="2" t="s">
        <v>820</v>
      </c>
      <c r="C290" s="2" t="s">
        <v>821</v>
      </c>
      <c r="D290" s="12" t="str">
        <f>IFERROR(__xludf.DUMMYFUNCTION("REGEXEXTRACT(E290, ""^(?:https?:\/\/)?(?:www\.)?([^\/]+)"")"),"cottonwoodcanyons.udot.utah.gov")</f>
        <v>cottonwoodcanyons.udot.utah.gov</v>
      </c>
      <c r="E290" s="2" t="s">
        <v>822</v>
      </c>
      <c r="F290" s="2" t="s">
        <v>38</v>
      </c>
      <c r="G290" s="2" t="s">
        <v>52</v>
      </c>
      <c r="H290" s="31" t="s">
        <v>824</v>
      </c>
      <c r="I290" s="2" t="s">
        <v>221</v>
      </c>
      <c r="J290" s="4" t="s">
        <v>222</v>
      </c>
      <c r="K290" s="9" t="str">
        <f>IF(H290="", "", IF(ISNUMBER(_xlfn.XMATCH(H290, 'Viks State Rollup Sheet'!G:G)), "Found in Rollup", "MISSING in Rollup"))</f>
        <v>MISSING in Rollup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 ht="15.75" customHeight="1">
      <c r="A291" s="2" t="s">
        <v>473</v>
      </c>
      <c r="B291" s="2" t="s">
        <v>475</v>
      </c>
      <c r="C291" s="2" t="s">
        <v>476</v>
      </c>
      <c r="D291" s="12" t="str">
        <f>IFERROR(__xludf.DUMMYFUNCTION("REGEXEXTRACT(E291, ""^(?:https?:\/\/)?(?:www\.)?([^\/]+)"")"),"travelwise.utah.gov")</f>
        <v>travelwise.utah.gov</v>
      </c>
      <c r="E291" s="2" t="s">
        <v>477</v>
      </c>
      <c r="F291" s="2" t="s">
        <v>38</v>
      </c>
      <c r="G291" s="2" t="s">
        <v>478</v>
      </c>
      <c r="H291" s="31" t="s">
        <v>479</v>
      </c>
      <c r="I291" s="2" t="s">
        <v>221</v>
      </c>
      <c r="J291" s="4" t="s">
        <v>222</v>
      </c>
      <c r="K291" s="9" t="str">
        <f>IF(H291="", "", IF(ISNUMBER(_xlfn.XMATCH(H291, 'Viks State Rollup Sheet'!G:G)), "Found in Rollup", "MISSING in Rollup"))</f>
        <v>MISSING in Rollup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 ht="15.75" customHeight="1">
      <c r="A292" s="22" t="s">
        <v>473</v>
      </c>
      <c r="B292" s="22" t="s">
        <v>1848</v>
      </c>
      <c r="C292" s="22" t="s">
        <v>1848</v>
      </c>
      <c r="D292" s="12" t="str">
        <f>IFERROR(__xludf.DUMMYFUNCTION("REGEXEXTRACT(E292, ""^(?:https?:\/\/)?(?:www\.)?([^\/]+)"")"),"udot.utah.gov")</f>
        <v>udot.utah.gov</v>
      </c>
      <c r="E292" s="23" t="s">
        <v>1849</v>
      </c>
      <c r="F292" s="22" t="s">
        <v>278</v>
      </c>
      <c r="G292" s="2" t="s">
        <v>52</v>
      </c>
      <c r="H292" s="2" t="s">
        <v>1850</v>
      </c>
      <c r="I292" s="2" t="s">
        <v>221</v>
      </c>
      <c r="J292" s="4" t="s">
        <v>222</v>
      </c>
      <c r="K292" s="9" t="str">
        <f>IF(H292="", "", IF(ISNUMBER(_xlfn.XMATCH(H292, 'Viks State Rollup Sheet'!G:G)), "Found in Rollup", "MISSING in Rollup"))</f>
        <v>MISSING in Rollup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 ht="15.75" customHeight="1">
      <c r="A293" s="2" t="s">
        <v>473</v>
      </c>
      <c r="B293" s="2" t="s">
        <v>1203</v>
      </c>
      <c r="C293" s="2" t="s">
        <v>1204</v>
      </c>
      <c r="D293" s="12" t="str">
        <f>IFERROR(__xludf.DUMMYFUNCTION("REGEXEXTRACT(E293, ""^(?:https?:\/\/)?(?:www\.)?([^\/]+)"")"),"udottraffic.utah.gov")</f>
        <v>udottraffic.utah.gov</v>
      </c>
      <c r="E293" s="14" t="s">
        <v>1205</v>
      </c>
      <c r="F293" s="2" t="s">
        <v>38</v>
      </c>
      <c r="G293" s="2" t="s">
        <v>52</v>
      </c>
      <c r="H293" s="31" t="s">
        <v>1207</v>
      </c>
      <c r="I293" s="2" t="s">
        <v>221</v>
      </c>
      <c r="J293" s="4" t="s">
        <v>222</v>
      </c>
      <c r="K293" s="9" t="str">
        <f>IF(H293="", "", IF(ISNUMBER(_xlfn.XMATCH(H293, 'Viks State Rollup Sheet'!G:G)), "Found in Rollup", "MISSING in Rollup"))</f>
        <v>MISSING in Rollup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 ht="15.75" customHeight="1">
      <c r="A294" s="2" t="s">
        <v>1417</v>
      </c>
      <c r="B294" s="2" t="s">
        <v>1697</v>
      </c>
      <c r="C294" s="2" t="s">
        <v>1698</v>
      </c>
      <c r="D294" s="12" t="str">
        <f>IFERROR(__xludf.DUMMYFUNCTION("REGEXEXTRACT(E294, ""^(?:https?:\/\/)?(?:www\.)?([^\/]+)"")"),"connectingutah.com")</f>
        <v>connectingutah.com</v>
      </c>
      <c r="E294" s="2" t="s">
        <v>1699</v>
      </c>
      <c r="F294" s="2" t="s">
        <v>38</v>
      </c>
      <c r="G294" s="2" t="s">
        <v>1700</v>
      </c>
      <c r="H294" s="2" t="s">
        <v>1701</v>
      </c>
      <c r="I294" s="2" t="s">
        <v>41</v>
      </c>
      <c r="J294" s="2" t="s">
        <v>1702</v>
      </c>
      <c r="K294" s="9" t="str">
        <f>IF(H294="", "", IF(ISNUMBER(_xlfn.XMATCH(H294, 'Viks State Rollup Sheet'!G:G)), "Found in Rollup", "MISSING in Rollup"))</f>
        <v>Found in Rollup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 ht="15.75" customHeight="1">
      <c r="A295" s="2" t="s">
        <v>696</v>
      </c>
      <c r="B295" s="2" t="s">
        <v>1212</v>
      </c>
      <c r="C295" s="2" t="s">
        <v>1213</v>
      </c>
      <c r="D295" s="12" t="str">
        <f>IFERROR(__xludf.DUMMYFUNCTION("REGEXEXTRACT(E295, ""^(?:https?:\/\/)?(?:www\.)?([^\/]+)"")"),"medicalcannabis.utah.gov")</f>
        <v>medicalcannabis.utah.gov</v>
      </c>
      <c r="E295" s="2" t="s">
        <v>1214</v>
      </c>
      <c r="F295" s="2" t="s">
        <v>38</v>
      </c>
      <c r="G295" s="2" t="s">
        <v>1215</v>
      </c>
      <c r="H295" s="2" t="s">
        <v>1216</v>
      </c>
      <c r="I295" s="2" t="s">
        <v>41</v>
      </c>
      <c r="J295" s="2" t="s">
        <v>1217</v>
      </c>
      <c r="K295" s="9" t="str">
        <f>IF(H295="", "", IF(ISNUMBER(_xlfn.XMATCH(H295, 'Viks State Rollup Sheet'!G:G)), "Found in Rollup", "MISSING in Rollup"))</f>
        <v>Found in Rollup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 ht="15.75" customHeight="1">
      <c r="A296" s="2" t="s">
        <v>483</v>
      </c>
      <c r="B296" s="2" t="s">
        <v>1824</v>
      </c>
      <c r="C296" s="2" t="s">
        <v>1825</v>
      </c>
      <c r="D296" s="12" t="str">
        <f>IFERROR(__xludf.DUMMYFUNCTION("REGEXEXTRACT(E296, ""^(?:https?:\/\/)?(?:www\.)?([^\/]+)"")"),"corrections.utah.gov")</f>
        <v>corrections.utah.gov</v>
      </c>
      <c r="E296" s="2" t="s">
        <v>1798</v>
      </c>
      <c r="F296" s="2" t="s">
        <v>38</v>
      </c>
      <c r="G296" s="2" t="s">
        <v>52</v>
      </c>
      <c r="H296" s="2" t="s">
        <v>1803</v>
      </c>
      <c r="I296" s="2" t="s">
        <v>41</v>
      </c>
      <c r="J296" s="2" t="s">
        <v>1797</v>
      </c>
      <c r="K296" s="9" t="str">
        <f>IF(H296="", "", IF(ISNUMBER(_xlfn.XMATCH(H296, 'Viks State Rollup Sheet'!G:G)), "Found in Rollup", "MISSING in Rollup"))</f>
        <v>Found in Rollup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 ht="15.75" customHeight="1">
      <c r="A297" s="2" t="s">
        <v>483</v>
      </c>
      <c r="B297" s="2" t="s">
        <v>1826</v>
      </c>
      <c r="C297" s="2" t="s">
        <v>1827</v>
      </c>
      <c r="D297" s="12" t="str">
        <f>IFERROR(__xludf.DUMMYFUNCTION("REGEXEXTRACT(E297, ""^(?:https?:\/\/)?(?:www\.)?([^\/]+)"")"),"uci.utah.gov")</f>
        <v>uci.utah.gov</v>
      </c>
      <c r="E297" s="2" t="s">
        <v>1828</v>
      </c>
      <c r="F297" s="2" t="s">
        <v>38</v>
      </c>
      <c r="G297" s="2" t="s">
        <v>52</v>
      </c>
      <c r="H297" s="2" t="s">
        <v>1829</v>
      </c>
      <c r="I297" s="2" t="s">
        <v>41</v>
      </c>
      <c r="J297" s="2" t="s">
        <v>1830</v>
      </c>
      <c r="K297" s="9" t="str">
        <f>IF(H297="", "", IF(ISNUMBER(_xlfn.XMATCH(H297, 'Viks State Rollup Sheet'!G:G)), "Found in Rollup", "MISSING in Rollup"))</f>
        <v>MISSING in Rollup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 ht="15.75" customHeight="1">
      <c r="A298" s="22" t="s">
        <v>473</v>
      </c>
      <c r="B298" s="22" t="s">
        <v>1856</v>
      </c>
      <c r="C298" s="22" t="s">
        <v>1856</v>
      </c>
      <c r="D298" s="12" t="str">
        <f>IFERROR(__xludf.DUMMYFUNCTION("REGEXEXTRACT(E298, ""^(?:https?:\/\/)?(?:www\.)?([^\/]+)"")"),"connect.udot.utah.gov")</f>
        <v>connect.udot.utah.gov</v>
      </c>
      <c r="E298" s="23" t="s">
        <v>1858</v>
      </c>
      <c r="F298" s="22" t="s">
        <v>278</v>
      </c>
      <c r="G298" s="2" t="s">
        <v>1859</v>
      </c>
      <c r="H298" s="2" t="s">
        <v>1140</v>
      </c>
      <c r="I298" s="2" t="s">
        <v>41</v>
      </c>
      <c r="J298" s="2" t="s">
        <v>1130</v>
      </c>
      <c r="K298" s="9" t="str">
        <f>IF(H298="", "", IF(ISNUMBER(_xlfn.XMATCH(H298, 'Viks State Rollup Sheet'!G:G)), "Found in Rollup", "MISSING in Rollup"))</f>
        <v>Found in Rollup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 ht="15.75" customHeight="1">
      <c r="A299" s="22" t="s">
        <v>473</v>
      </c>
      <c r="B299" s="22" t="s">
        <v>1860</v>
      </c>
      <c r="C299" s="22" t="s">
        <v>1860</v>
      </c>
      <c r="D299" s="12" t="str">
        <f>IFERROR(__xludf.DUMMYFUNCTION("REGEXEXTRACT(E299, ""^(?:https?:\/\/)?(?:www\.)?([^\/]+)"")"),"connect.udot.utah.gov")</f>
        <v>connect.udot.utah.gov</v>
      </c>
      <c r="E299" s="23" t="s">
        <v>1861</v>
      </c>
      <c r="F299" s="22" t="s">
        <v>278</v>
      </c>
      <c r="G299" s="2" t="s">
        <v>1859</v>
      </c>
      <c r="H299" s="2" t="s">
        <v>1140</v>
      </c>
      <c r="I299" s="2" t="s">
        <v>41</v>
      </c>
      <c r="J299" s="2" t="s">
        <v>1130</v>
      </c>
      <c r="K299" s="9" t="str">
        <f>IF(H299="", "", IF(ISNUMBER(_xlfn.XMATCH(H299, 'Viks State Rollup Sheet'!G:G)), "Found in Rollup", "MISSING in Rollup"))</f>
        <v>Found in Rollup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</row>
    <row r="300" ht="15.75" customHeight="1">
      <c r="A300" s="22" t="s">
        <v>473</v>
      </c>
      <c r="B300" s="22" t="s">
        <v>1862</v>
      </c>
      <c r="C300" s="22" t="s">
        <v>1862</v>
      </c>
      <c r="D300" s="12" t="str">
        <f>IFERROR(__xludf.DUMMYFUNCTION("REGEXEXTRACT(E300, ""^(?:https?:\/\/)?(?:www\.)?([^\/]+)"")"),"connect.udot.utah.gov")</f>
        <v>connect.udot.utah.gov</v>
      </c>
      <c r="E300" s="23" t="s">
        <v>1863</v>
      </c>
      <c r="F300" s="22" t="s">
        <v>278</v>
      </c>
      <c r="G300" s="2" t="s">
        <v>1859</v>
      </c>
      <c r="H300" s="2" t="s">
        <v>1140</v>
      </c>
      <c r="I300" s="2" t="s">
        <v>41</v>
      </c>
      <c r="J300" s="2" t="s">
        <v>1130</v>
      </c>
      <c r="K300" s="9" t="str">
        <f>IF(H300="", "", IF(ISNUMBER(_xlfn.XMATCH(H300, 'Viks State Rollup Sheet'!G:G)), "Found in Rollup", "MISSING in Rollup"))</f>
        <v>Found in Rollup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</row>
    <row r="301" ht="15.75" customHeight="1">
      <c r="A301" s="22" t="s">
        <v>473</v>
      </c>
      <c r="B301" s="22" t="s">
        <v>1864</v>
      </c>
      <c r="C301" s="22" t="s">
        <v>1864</v>
      </c>
      <c r="D301" s="12" t="str">
        <f>IFERROR(__xludf.DUMMYFUNCTION("REGEXEXTRACT(E301, ""^(?:https?:\/\/)?(?:www\.)?([^\/]+)"")"),"connect.udot.utah.gov")</f>
        <v>connect.udot.utah.gov</v>
      </c>
      <c r="E301" s="23" t="s">
        <v>1865</v>
      </c>
      <c r="F301" s="22" t="s">
        <v>278</v>
      </c>
      <c r="G301" s="2" t="s">
        <v>1859</v>
      </c>
      <c r="H301" s="2" t="s">
        <v>1140</v>
      </c>
      <c r="I301" s="2" t="s">
        <v>41</v>
      </c>
      <c r="J301" s="2" t="s">
        <v>1130</v>
      </c>
      <c r="K301" s="9" t="str">
        <f>IF(H301="", "", IF(ISNUMBER(_xlfn.XMATCH(H301, 'Viks State Rollup Sheet'!G:G)), "Found in Rollup", "MISSING in Rollup"))</f>
        <v>Found in Rollup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</row>
    <row r="302" ht="15.75" customHeight="1">
      <c r="A302" s="22" t="s">
        <v>473</v>
      </c>
      <c r="B302" s="22" t="s">
        <v>1866</v>
      </c>
      <c r="C302" s="22" t="s">
        <v>1866</v>
      </c>
      <c r="D302" s="12" t="str">
        <f>IFERROR(__xludf.DUMMYFUNCTION("REGEXEXTRACT(E302, ""^(?:https?:\/\/)?(?:www\.)?([^\/]+)"")"),"connect.udot.utah.gov")</f>
        <v>connect.udot.utah.gov</v>
      </c>
      <c r="E302" s="23" t="s">
        <v>1867</v>
      </c>
      <c r="F302" s="22" t="s">
        <v>278</v>
      </c>
      <c r="G302" s="2" t="s">
        <v>1859</v>
      </c>
      <c r="H302" s="2" t="s">
        <v>1140</v>
      </c>
      <c r="I302" s="2" t="s">
        <v>41</v>
      </c>
      <c r="J302" s="2" t="s">
        <v>1130</v>
      </c>
      <c r="K302" s="9" t="str">
        <f>IF(H302="", "", IF(ISNUMBER(_xlfn.XMATCH(H302, 'Viks State Rollup Sheet'!G:G)), "Found in Rollup", "MISSING in Rollup"))</f>
        <v>Found in Rollup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</row>
    <row r="303" ht="15.75" customHeight="1">
      <c r="A303" s="22" t="s">
        <v>473</v>
      </c>
      <c r="B303" s="22" t="s">
        <v>1868</v>
      </c>
      <c r="C303" s="22" t="s">
        <v>1868</v>
      </c>
      <c r="D303" s="12" t="str">
        <f>IFERROR(__xludf.DUMMYFUNCTION("REGEXEXTRACT(E303, ""^(?:https?:\/\/)?(?:www\.)?([^\/]+)"")"),"connect.udot.utah.gov")</f>
        <v>connect.udot.utah.gov</v>
      </c>
      <c r="E303" s="23" t="s">
        <v>1869</v>
      </c>
      <c r="F303" s="22" t="s">
        <v>278</v>
      </c>
      <c r="G303" s="2" t="s">
        <v>1859</v>
      </c>
      <c r="H303" s="2" t="s">
        <v>1870</v>
      </c>
      <c r="I303" s="2" t="s">
        <v>41</v>
      </c>
      <c r="J303" s="2" t="s">
        <v>1130</v>
      </c>
      <c r="K303" s="9" t="str">
        <f>IF(H303="", "", IF(ISNUMBER(_xlfn.XMATCH(H303, 'Viks State Rollup Sheet'!G:G)), "Found in Rollup", "MISSING in Rollup"))</f>
        <v>MISSING in Rollup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</row>
    <row r="304" ht="15.75" customHeight="1">
      <c r="A304" s="22" t="s">
        <v>473</v>
      </c>
      <c r="B304" s="22" t="s">
        <v>1871</v>
      </c>
      <c r="C304" s="22" t="s">
        <v>1871</v>
      </c>
      <c r="D304" s="12" t="str">
        <f>IFERROR(__xludf.DUMMYFUNCTION("REGEXEXTRACT(E304, ""^(?:https?:\/\/)?(?:www\.)?([^\/]+)"")"),"gis.udot.utah.gov")</f>
        <v>gis.udot.utah.gov</v>
      </c>
      <c r="E304" s="23" t="s">
        <v>1873</v>
      </c>
      <c r="F304" s="22" t="s">
        <v>278</v>
      </c>
      <c r="G304" s="2" t="s">
        <v>1859</v>
      </c>
      <c r="H304" s="2" t="s">
        <v>1140</v>
      </c>
      <c r="I304" s="2" t="s">
        <v>41</v>
      </c>
      <c r="J304" s="2" t="s">
        <v>1130</v>
      </c>
      <c r="K304" s="9" t="str">
        <f>IF(H304="", "", IF(ISNUMBER(_xlfn.XMATCH(H304, 'Viks State Rollup Sheet'!G:G)), "Found in Rollup", "MISSING in Rollup"))</f>
        <v>Found in Rollup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 ht="15.75" customHeight="1">
      <c r="A305" s="22" t="s">
        <v>473</v>
      </c>
      <c r="B305" s="22" t="s">
        <v>1874</v>
      </c>
      <c r="C305" s="22" t="s">
        <v>1874</v>
      </c>
      <c r="D305" s="12" t="str">
        <f>IFERROR(__xludf.DUMMYFUNCTION("REGEXEXTRACT(E305, ""^(?:https?:\/\/)?(?:www\.)?([^\/]+)"")"),"udot.dev.utah.gov")</f>
        <v>udot.dev.utah.gov</v>
      </c>
      <c r="E305" s="23" t="s">
        <v>1876</v>
      </c>
      <c r="F305" s="22" t="s">
        <v>278</v>
      </c>
      <c r="G305" s="2" t="s">
        <v>1859</v>
      </c>
      <c r="H305" s="2" t="s">
        <v>1140</v>
      </c>
      <c r="I305" s="2" t="s">
        <v>41</v>
      </c>
      <c r="J305" s="2" t="s">
        <v>1130</v>
      </c>
      <c r="K305" s="9" t="str">
        <f>IF(H305="", "", IF(ISNUMBER(_xlfn.XMATCH(H305, 'Viks State Rollup Sheet'!G:G)), "Found in Rollup", "MISSING in Rollup"))</f>
        <v>Found in Rollup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</row>
    <row r="306" ht="15.75" customHeight="1">
      <c r="A306" s="2" t="s">
        <v>473</v>
      </c>
      <c r="B306" s="2" t="s">
        <v>1749</v>
      </c>
      <c r="C306" s="2" t="s">
        <v>1877</v>
      </c>
      <c r="D306" s="12" t="str">
        <f>IFERROR(__xludf.DUMMYFUNCTION("REGEXEXTRACT(E306, ""^(?:https?:\/\/)?(?:www\.)?([^\/]+)"")"),"udot.utah.gov")</f>
        <v>udot.utah.gov</v>
      </c>
      <c r="E306" s="2" t="s">
        <v>1878</v>
      </c>
      <c r="F306" s="2" t="s">
        <v>38</v>
      </c>
      <c r="G306" s="2" t="s">
        <v>1859</v>
      </c>
      <c r="H306" s="2" t="s">
        <v>1140</v>
      </c>
      <c r="I306" s="2" t="s">
        <v>41</v>
      </c>
      <c r="J306" s="2" t="s">
        <v>1130</v>
      </c>
      <c r="K306" s="9" t="str">
        <f>IF(H306="", "", IF(ISNUMBER(_xlfn.XMATCH(H306, 'Viks State Rollup Sheet'!G:G)), "Found in Rollup", "MISSING in Rollup"))</f>
        <v>Found in Rollup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</row>
    <row r="307" ht="15.75" customHeight="1">
      <c r="A307" s="2" t="s">
        <v>473</v>
      </c>
      <c r="B307" s="2" t="s">
        <v>1879</v>
      </c>
      <c r="C307" s="2" t="s">
        <v>1880</v>
      </c>
      <c r="D307" s="12" t="str">
        <f>IFERROR(__xludf.DUMMYFUNCTION("REGEXEXTRACT(E307, ""^(?:https?:\/\/)?(?:www\.)?([^\/]+)"")"),"udotinput.utah.gov")</f>
        <v>udotinput.utah.gov</v>
      </c>
      <c r="E307" s="2" t="s">
        <v>281</v>
      </c>
      <c r="F307" s="2" t="s">
        <v>38</v>
      </c>
      <c r="G307" s="2" t="s">
        <v>1881</v>
      </c>
      <c r="H307" s="2" t="s">
        <v>1882</v>
      </c>
      <c r="I307" s="2" t="s">
        <v>41</v>
      </c>
      <c r="J307" s="2" t="s">
        <v>279</v>
      </c>
      <c r="K307" s="9" t="str">
        <f>IF(H307="", "", IF(ISNUMBER(_xlfn.XMATCH(H307, 'Viks State Rollup Sheet'!G:G)), "Found in Rollup", "MISSING in Rollup"))</f>
        <v>MISSING in Rollup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</row>
    <row r="308" ht="15.75" customHeight="1">
      <c r="A308" s="2" t="s">
        <v>473</v>
      </c>
      <c r="B308" s="2" t="s">
        <v>1890</v>
      </c>
      <c r="C308" s="2" t="s">
        <v>1891</v>
      </c>
      <c r="D308" s="12" t="str">
        <f>IFERROR(__xludf.DUMMYFUNCTION("REGEXEXTRACT(E308, ""^(?:https?:\/\/)?(?:www\.)?([^\/]+)"")"),"zerofatalities.com")</f>
        <v>zerofatalities.com</v>
      </c>
      <c r="E308" s="2" t="s">
        <v>138</v>
      </c>
      <c r="F308" s="2" t="s">
        <v>38</v>
      </c>
      <c r="G308" s="2" t="s">
        <v>1892</v>
      </c>
      <c r="H308" s="2" t="s">
        <v>1893</v>
      </c>
      <c r="I308" s="2" t="s">
        <v>41</v>
      </c>
      <c r="J308" s="2" t="s">
        <v>133</v>
      </c>
      <c r="K308" s="9" t="str">
        <f>IF(H308="", "", IF(ISNUMBER(_xlfn.XMATCH(H308, 'Viks State Rollup Sheet'!G:G)), "Found in Rollup", "MISSING in Rollup"))</f>
        <v>MISSING in Rollup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 ht="15.75" customHeight="1">
      <c r="A309" s="2" t="s">
        <v>1716</v>
      </c>
      <c r="B309" s="2" t="s">
        <v>1717</v>
      </c>
      <c r="C309" s="2" t="s">
        <v>1718</v>
      </c>
      <c r="D309" s="12" t="str">
        <f>IFERROR(__xludf.DUMMYFUNCTION("REGEXEXTRACT(E309, ""^(?:https?:\/\/)?(?:www\.)?([^\/]+)"")"),"insurance.utah.gov")</f>
        <v>insurance.utah.gov</v>
      </c>
      <c r="E309" s="2" t="s">
        <v>1719</v>
      </c>
      <c r="F309" s="2" t="s">
        <v>38</v>
      </c>
      <c r="G309" s="2" t="s">
        <v>1720</v>
      </c>
      <c r="H309" s="2" t="s">
        <v>1721</v>
      </c>
      <c r="I309" s="2" t="s">
        <v>41</v>
      </c>
      <c r="J309" s="2" t="s">
        <v>1722</v>
      </c>
      <c r="K309" s="9" t="str">
        <f>IF(H309="", "", IF(ISNUMBER(_xlfn.XMATCH(H309, 'Viks State Rollup Sheet'!G:G)), "Found in Rollup", "MISSING in Rollup"))</f>
        <v>MISSING in Rollup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</row>
    <row r="310" ht="15.75" customHeight="1">
      <c r="A310" s="22" t="s">
        <v>1674</v>
      </c>
      <c r="B310" s="22" t="s">
        <v>1785</v>
      </c>
      <c r="C310" s="22" t="s">
        <v>1785</v>
      </c>
      <c r="D310" s="12" t="str">
        <f>IFERROR(__xludf.DUMMYFUNCTION("REGEXEXTRACT(E310, ""^(?:https?:\/\/)?(?:www\.)?([^\/]+)"")"),"guard.utah.gov")</f>
        <v>guard.utah.gov</v>
      </c>
      <c r="E310" s="23" t="s">
        <v>1787</v>
      </c>
      <c r="F310" s="22" t="s">
        <v>278</v>
      </c>
      <c r="G310" s="2" t="s">
        <v>1788</v>
      </c>
      <c r="H310" s="2" t="s">
        <v>1789</v>
      </c>
      <c r="I310" s="2" t="s">
        <v>41</v>
      </c>
      <c r="J310" s="2" t="s">
        <v>1790</v>
      </c>
      <c r="K310" s="9" t="str">
        <f>IF(H310="", "", IF(ISNUMBER(_xlfn.XMATCH(H310, 'Viks State Rollup Sheet'!G:G)), "Found in Rollup", "MISSING in Rollup"))</f>
        <v>Found in Rollup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</row>
    <row r="311" ht="15.75" customHeight="1">
      <c r="A311" s="2" t="s">
        <v>1674</v>
      </c>
      <c r="B311" s="2" t="s">
        <v>1791</v>
      </c>
      <c r="C311" s="2" t="s">
        <v>1792</v>
      </c>
      <c r="D311" s="12" t="str">
        <f>IFERROR(__xludf.DUMMYFUNCTION("REGEXEXTRACT(E311, ""^(?:https?:\/\/)?(?:www\.)?([^\/]+)"")"),"guard.utah.gov")</f>
        <v>guard.utah.gov</v>
      </c>
      <c r="E311" s="2" t="s">
        <v>1791</v>
      </c>
      <c r="F311" s="2" t="s">
        <v>38</v>
      </c>
      <c r="G311" s="2" t="s">
        <v>1788</v>
      </c>
      <c r="H311" s="2" t="s">
        <v>1789</v>
      </c>
      <c r="I311" s="2" t="s">
        <v>41</v>
      </c>
      <c r="J311" s="2" t="s">
        <v>1790</v>
      </c>
      <c r="K311" s="9" t="str">
        <f>IF(H311="", "", IF(ISNUMBER(_xlfn.XMATCH(H311, 'Viks State Rollup Sheet'!G:G)), "Found in Rollup", "MISSING in Rollup"))</f>
        <v>Found in Rollup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</row>
    <row r="312" ht="15.75" customHeight="1">
      <c r="A312" s="2" t="s">
        <v>1754</v>
      </c>
      <c r="B312" s="2" t="s">
        <v>1997</v>
      </c>
      <c r="C312" s="2" t="s">
        <v>1998</v>
      </c>
      <c r="D312" s="12" t="str">
        <f>IFERROR(__xludf.DUMMYFUNCTION("REGEXEXTRACT(E312, ""^(?:https?:\/\/)?(?:www\.)?([^\/]+)"")"),"dmv.utah.gov")</f>
        <v>dmv.utah.gov</v>
      </c>
      <c r="E312" s="2" t="s">
        <v>430</v>
      </c>
      <c r="F312" s="2" t="s">
        <v>38</v>
      </c>
      <c r="G312" s="2" t="s">
        <v>1999</v>
      </c>
      <c r="H312" s="2" t="s">
        <v>433</v>
      </c>
      <c r="I312" s="2" t="s">
        <v>41</v>
      </c>
      <c r="J312" s="2" t="s">
        <v>428</v>
      </c>
      <c r="K312" s="9" t="str">
        <f>IF(H312="", "", IF(ISNUMBER(_xlfn.XMATCH(H312, 'Viks State Rollup Sheet'!G:G)), "Found in Rollup", "MISSING in Rollup"))</f>
        <v>Found in Rollup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</row>
    <row r="313" ht="15.75" customHeight="1">
      <c r="A313" s="2" t="s">
        <v>1754</v>
      </c>
      <c r="B313" s="2" t="s">
        <v>2000</v>
      </c>
      <c r="C313" s="2" t="s">
        <v>2001</v>
      </c>
      <c r="D313" s="12" t="str">
        <f>IFERROR(__xludf.DUMMYFUNCTION("REGEXEXTRACT(E313, ""^(?:https?:\/\/)?(?:www\.)?([^\/]+)"")"),"mved.utah.gov")</f>
        <v>mved.utah.gov</v>
      </c>
      <c r="E313" s="2" t="s">
        <v>419</v>
      </c>
      <c r="F313" s="2" t="s">
        <v>38</v>
      </c>
      <c r="G313" s="2" t="s">
        <v>1999</v>
      </c>
      <c r="H313" s="2" t="s">
        <v>433</v>
      </c>
      <c r="I313" s="2" t="s">
        <v>41</v>
      </c>
      <c r="J313" s="2" t="s">
        <v>428</v>
      </c>
      <c r="K313" s="9" t="str">
        <f>IF(H313="", "", IF(ISNUMBER(_xlfn.XMATCH(H313, 'Viks State Rollup Sheet'!G:G)), "Found in Rollup", "MISSING in Rollup"))</f>
        <v>Found in Rollup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 ht="15.75" customHeight="1">
      <c r="A314" s="2" t="s">
        <v>1754</v>
      </c>
      <c r="B314" s="2" t="s">
        <v>2011</v>
      </c>
      <c r="C314" s="2" t="s">
        <v>2012</v>
      </c>
      <c r="D314" s="14" t="s">
        <v>2013</v>
      </c>
      <c r="E314" s="14" t="s">
        <v>2013</v>
      </c>
      <c r="F314" s="2" t="s">
        <v>38</v>
      </c>
      <c r="G314" s="2" t="s">
        <v>217</v>
      </c>
      <c r="H314" s="2" t="s">
        <v>2014</v>
      </c>
      <c r="I314" s="2" t="s">
        <v>41</v>
      </c>
      <c r="J314" s="2" t="s">
        <v>2015</v>
      </c>
      <c r="K314" s="9" t="str">
        <f>IF(H314="", "", IF(ISNUMBER(_xlfn.XMATCH(H314, 'Viks State Rollup Sheet'!G:G)), "Found in Rollup", "MISSING in Rollup"))</f>
        <v>MISSING in Rollup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</row>
    <row r="315" ht="15.75" customHeight="1">
      <c r="A315" s="2" t="s">
        <v>1754</v>
      </c>
      <c r="B315" s="2" t="s">
        <v>2019</v>
      </c>
      <c r="C315" s="2" t="s">
        <v>382</v>
      </c>
      <c r="D315" s="12" t="str">
        <f>IFERROR(__xludf.DUMMYFUNCTION("REGEXEXTRACT(E315, ""^(?:https?:\/\/)?(?:www\.)?([^\/]+)"")"),"incometax.utah.gov")</f>
        <v>incometax.utah.gov</v>
      </c>
      <c r="E315" s="2" t="s">
        <v>390</v>
      </c>
      <c r="F315" s="2" t="s">
        <v>38</v>
      </c>
      <c r="G315" s="2" t="s">
        <v>2020</v>
      </c>
      <c r="H315" s="2" t="s">
        <v>406</v>
      </c>
      <c r="I315" s="2" t="s">
        <v>41</v>
      </c>
      <c r="J315" s="2" t="s">
        <v>380</v>
      </c>
      <c r="K315" s="9" t="str">
        <f>IF(H315="", "", IF(ISNUMBER(_xlfn.XMATCH(H315, 'Viks State Rollup Sheet'!G:G)), "Found in Rollup", "MISSING in Rollup"))</f>
        <v>Found in Rollup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</row>
    <row r="316" ht="15.75" customHeight="1">
      <c r="A316" s="2" t="s">
        <v>1754</v>
      </c>
      <c r="B316" s="2" t="s">
        <v>2021</v>
      </c>
      <c r="C316" s="2" t="s">
        <v>2022</v>
      </c>
      <c r="D316" s="12" t="str">
        <f>IFERROR(__xludf.DUMMYFUNCTION("REGEXEXTRACT(E316, ""^(?:https?:\/\/)?(?:www\.)?([^\/]+)"")"),"propertytax.utah.gov")</f>
        <v>propertytax.utah.gov</v>
      </c>
      <c r="E316" s="2" t="s">
        <v>355</v>
      </c>
      <c r="F316" s="2" t="s">
        <v>38</v>
      </c>
      <c r="G316" s="2" t="s">
        <v>2023</v>
      </c>
      <c r="H316" s="2" t="s">
        <v>440</v>
      </c>
      <c r="I316" s="2" t="s">
        <v>41</v>
      </c>
      <c r="J316" s="2" t="s">
        <v>436</v>
      </c>
      <c r="K316" s="9" t="str">
        <f>IF(H316="", "", IF(ISNUMBER(_xlfn.XMATCH(H316, 'Viks State Rollup Sheet'!G:G)), "Found in Rollup", "MISSING in Rollup"))</f>
        <v>Found in Rollup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</row>
    <row r="317" ht="15.75" customHeight="1">
      <c r="A317" s="2" t="s">
        <v>1754</v>
      </c>
      <c r="B317" s="2" t="s">
        <v>2024</v>
      </c>
      <c r="C317" s="2" t="s">
        <v>2025</v>
      </c>
      <c r="D317" s="12" t="str">
        <f>IFERROR(__xludf.DUMMYFUNCTION("REGEXEXTRACT(E317, ""^(?:https?:\/\/)?(?:www\.)?([^\/]+)"")"),"tax.utah.gov")</f>
        <v>tax.utah.gov</v>
      </c>
      <c r="E317" s="2" t="s">
        <v>439</v>
      </c>
      <c r="F317" s="2" t="s">
        <v>38</v>
      </c>
      <c r="G317" s="2" t="s">
        <v>2023</v>
      </c>
      <c r="H317" s="2" t="s">
        <v>440</v>
      </c>
      <c r="I317" s="2" t="s">
        <v>41</v>
      </c>
      <c r="J317" s="2" t="s">
        <v>436</v>
      </c>
      <c r="K317" s="9" t="str">
        <f>IF(H317="", "", IF(ISNUMBER(_xlfn.XMATCH(H317, 'Viks State Rollup Sheet'!G:G)), "Found in Rollup", "MISSING in Rollup"))</f>
        <v>Found in Rollup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</row>
    <row r="318" ht="15.75" customHeight="1">
      <c r="A318" s="2" t="s">
        <v>2027</v>
      </c>
      <c r="B318" s="2" t="s">
        <v>2028</v>
      </c>
      <c r="C318" s="2" t="s">
        <v>2029</v>
      </c>
      <c r="D318" s="12" t="str">
        <f>IFERROR(__xludf.DUMMYFUNCTION("REGEXEXTRACT(E318, ""^(?:https?:\/\/)?(?:www\.)?([^\/]+)"")"),"Military.utah.gov")</f>
        <v>Military.utah.gov</v>
      </c>
      <c r="E318" s="2" t="s">
        <v>2030</v>
      </c>
      <c r="F318" s="2" t="s">
        <v>38</v>
      </c>
      <c r="G318" s="2" t="s">
        <v>52</v>
      </c>
      <c r="H318" s="2" t="s">
        <v>723</v>
      </c>
      <c r="I318" s="2" t="s">
        <v>41</v>
      </c>
      <c r="J318" s="2" t="s">
        <v>707</v>
      </c>
      <c r="K318" s="9" t="str">
        <f>IF(H318="", "", IF(ISNUMBER(_xlfn.XMATCH(H318, 'Viks State Rollup Sheet'!G:G)), "Found in Rollup", "MISSING in Rollup"))</f>
        <v>Found in Rollup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</row>
    <row r="319" ht="15.75" customHeight="1">
      <c r="A319" s="2" t="s">
        <v>2027</v>
      </c>
      <c r="B319" s="2" t="s">
        <v>2031</v>
      </c>
      <c r="C319" s="2" t="s">
        <v>2029</v>
      </c>
      <c r="D319" s="12" t="str">
        <f>IFERROR(__xludf.DUMMYFUNCTION("REGEXEXTRACT(E319, ""^(?:https?:\/\/)?(?:www\.)?([^\/]+)"")"),"Veterans.utah.gov")</f>
        <v>Veterans.utah.gov</v>
      </c>
      <c r="E319" s="2" t="s">
        <v>2032</v>
      </c>
      <c r="F319" s="2" t="s">
        <v>38</v>
      </c>
      <c r="G319" s="2" t="s">
        <v>52</v>
      </c>
      <c r="H319" s="2" t="s">
        <v>723</v>
      </c>
      <c r="I319" s="2" t="s">
        <v>41</v>
      </c>
      <c r="J319" s="2" t="s">
        <v>707</v>
      </c>
      <c r="K319" s="9" t="str">
        <f>IF(H319="", "", IF(ISNUMBER(_xlfn.XMATCH(H319, 'Viks State Rollup Sheet'!G:G)), "Found in Rollup", "MISSING in Rollup"))</f>
        <v>Found in Rollup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 ht="15.75" customHeight="1">
      <c r="A320" s="36"/>
      <c r="B320" s="36"/>
      <c r="C320" s="2"/>
      <c r="D320" s="36"/>
      <c r="E320" s="36"/>
      <c r="F320" s="36"/>
      <c r="G320" s="2"/>
      <c r="H320" s="2"/>
      <c r="I320" s="2"/>
      <c r="J320" s="2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</row>
    <row r="321" ht="15.75" customHeight="1">
      <c r="A321" s="36"/>
      <c r="B321" s="36"/>
      <c r="C321" s="2"/>
      <c r="D321" s="36"/>
      <c r="E321" s="36"/>
      <c r="F321" s="36"/>
      <c r="G321" s="2"/>
      <c r="H321" s="2"/>
      <c r="I321" s="2"/>
      <c r="J321" s="2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</row>
    <row r="322" ht="15.75" customHeight="1">
      <c r="A322" s="36"/>
      <c r="B322" s="36"/>
      <c r="C322" s="2"/>
      <c r="D322" s="36"/>
      <c r="E322" s="36"/>
      <c r="F322" s="36"/>
      <c r="G322" s="2"/>
      <c r="H322" s="2"/>
      <c r="I322" s="2"/>
      <c r="J322" s="2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</row>
    <row r="323" ht="15.75" customHeight="1">
      <c r="A323" s="36"/>
      <c r="B323" s="36"/>
      <c r="C323" s="2"/>
      <c r="D323" s="36"/>
      <c r="E323" s="36"/>
      <c r="F323" s="36"/>
      <c r="G323" s="2"/>
      <c r="H323" s="2"/>
      <c r="I323" s="2"/>
      <c r="J323" s="2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 ht="15.75" customHeight="1">
      <c r="A324" s="36"/>
      <c r="B324" s="36"/>
      <c r="C324" s="2"/>
      <c r="D324" s="36"/>
      <c r="E324" s="36"/>
      <c r="F324" s="36"/>
      <c r="G324" s="2"/>
      <c r="H324" s="2"/>
      <c r="I324" s="2"/>
      <c r="J324" s="2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</row>
    <row r="325" ht="15.75" customHeight="1">
      <c r="A325" s="36"/>
      <c r="B325" s="36"/>
      <c r="C325" s="2"/>
      <c r="D325" s="36"/>
      <c r="E325" s="36"/>
      <c r="F325" s="36"/>
      <c r="G325" s="2"/>
      <c r="H325" s="2"/>
      <c r="I325" s="2"/>
      <c r="J325" s="2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 ht="15.75" customHeight="1">
      <c r="A326" s="36"/>
      <c r="B326" s="36"/>
      <c r="C326" s="2"/>
      <c r="D326" s="36"/>
      <c r="E326" s="36"/>
      <c r="F326" s="36"/>
      <c r="G326" s="2"/>
      <c r="H326" s="2"/>
      <c r="I326" s="2"/>
      <c r="J326" s="2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 ht="15.75" customHeight="1">
      <c r="A327" s="36"/>
      <c r="B327" s="36"/>
      <c r="C327" s="2"/>
      <c r="D327" s="36"/>
      <c r="E327" s="36"/>
      <c r="F327" s="36"/>
      <c r="G327" s="2"/>
      <c r="H327" s="2"/>
      <c r="I327" s="2"/>
      <c r="J327" s="2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 ht="15.75" customHeight="1">
      <c r="A328" s="36"/>
      <c r="B328" s="36"/>
      <c r="C328" s="2"/>
      <c r="D328" s="36"/>
      <c r="E328" s="36"/>
      <c r="F328" s="36"/>
      <c r="G328" s="2"/>
      <c r="H328" s="2"/>
      <c r="I328" s="2"/>
      <c r="J328" s="2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</row>
    <row r="329" ht="15.75" customHeight="1">
      <c r="A329" s="36"/>
      <c r="B329" s="36"/>
      <c r="C329" s="2"/>
      <c r="D329" s="36"/>
      <c r="E329" s="36"/>
      <c r="F329" s="36"/>
      <c r="G329" s="2"/>
      <c r="H329" s="2"/>
      <c r="I329" s="2"/>
      <c r="J329" s="2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</row>
    <row r="330" ht="15.75" customHeight="1">
      <c r="A330" s="36"/>
      <c r="B330" s="36"/>
      <c r="C330" s="2"/>
      <c r="D330" s="36"/>
      <c r="E330" s="36"/>
      <c r="F330" s="36"/>
      <c r="G330" s="2"/>
      <c r="H330" s="2"/>
      <c r="I330" s="2"/>
      <c r="J330" s="2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</row>
    <row r="331" ht="15.75" customHeight="1">
      <c r="A331" s="36"/>
      <c r="B331" s="36"/>
      <c r="C331" s="2"/>
      <c r="D331" s="36"/>
      <c r="E331" s="36"/>
      <c r="F331" s="36"/>
      <c r="G331" s="2"/>
      <c r="H331" s="2"/>
      <c r="I331" s="2"/>
      <c r="J331" s="2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 ht="15.75" customHeight="1">
      <c r="A332" s="36"/>
      <c r="B332" s="36"/>
      <c r="C332" s="2"/>
      <c r="D332" s="36"/>
      <c r="E332" s="36"/>
      <c r="F332" s="36"/>
      <c r="G332" s="2"/>
      <c r="H332" s="2"/>
      <c r="I332" s="2"/>
      <c r="J332" s="2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 ht="15.75" customHeight="1">
      <c r="A333" s="36"/>
      <c r="B333" s="36"/>
      <c r="C333" s="2"/>
      <c r="D333" s="36"/>
      <c r="E333" s="36"/>
      <c r="F333" s="36"/>
      <c r="G333" s="2"/>
      <c r="H333" s="2"/>
      <c r="I333" s="2"/>
      <c r="J333" s="2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 ht="15.75" customHeight="1">
      <c r="A334" s="36"/>
      <c r="B334" s="36"/>
      <c r="C334" s="2"/>
      <c r="D334" s="36"/>
      <c r="E334" s="36"/>
      <c r="F334" s="36"/>
      <c r="G334" s="2"/>
      <c r="H334" s="2"/>
      <c r="I334" s="2"/>
      <c r="J334" s="2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 ht="15.75" customHeight="1">
      <c r="A335" s="36"/>
      <c r="B335" s="36"/>
      <c r="C335" s="2"/>
      <c r="D335" s="36"/>
      <c r="E335" s="36"/>
      <c r="F335" s="36"/>
      <c r="G335" s="2"/>
      <c r="H335" s="2"/>
      <c r="I335" s="2"/>
      <c r="J335" s="2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 ht="15.75" customHeight="1">
      <c r="A336" s="36"/>
      <c r="B336" s="36"/>
      <c r="C336" s="2"/>
      <c r="D336" s="36"/>
      <c r="E336" s="36"/>
      <c r="F336" s="36"/>
      <c r="G336" s="2"/>
      <c r="H336" s="2"/>
      <c r="I336" s="2"/>
      <c r="J336" s="2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 ht="15.75" customHeight="1">
      <c r="A337" s="36"/>
      <c r="B337" s="36"/>
      <c r="C337" s="2"/>
      <c r="D337" s="36"/>
      <c r="E337" s="36"/>
      <c r="F337" s="36"/>
      <c r="G337" s="2"/>
      <c r="H337" s="2"/>
      <c r="I337" s="2"/>
      <c r="J337" s="2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 ht="15.75" customHeight="1">
      <c r="A338" s="36"/>
      <c r="B338" s="36"/>
      <c r="C338" s="2"/>
      <c r="D338" s="36"/>
      <c r="E338" s="36"/>
      <c r="F338" s="36"/>
      <c r="G338" s="2"/>
      <c r="H338" s="2"/>
      <c r="I338" s="2"/>
      <c r="J338" s="2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 ht="15.75" customHeight="1">
      <c r="A339" s="36"/>
      <c r="B339" s="36"/>
      <c r="C339" s="2"/>
      <c r="D339" s="36"/>
      <c r="E339" s="36"/>
      <c r="F339" s="36"/>
      <c r="G339" s="2"/>
      <c r="H339" s="2"/>
      <c r="I339" s="2"/>
      <c r="J339" s="2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 ht="15.75" customHeight="1">
      <c r="A340" s="36"/>
      <c r="B340" s="36"/>
      <c r="C340" s="2"/>
      <c r="D340" s="36"/>
      <c r="E340" s="36"/>
      <c r="F340" s="36"/>
      <c r="G340" s="2"/>
      <c r="H340" s="2"/>
      <c r="I340" s="2"/>
      <c r="J340" s="2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 ht="15.75" customHeight="1">
      <c r="A341" s="36"/>
      <c r="B341" s="36"/>
      <c r="C341" s="2"/>
      <c r="D341" s="36"/>
      <c r="E341" s="36"/>
      <c r="F341" s="36"/>
      <c r="G341" s="2"/>
      <c r="H341" s="2"/>
      <c r="I341" s="2"/>
      <c r="J341" s="2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 ht="15.75" customHeight="1">
      <c r="A342" s="36"/>
      <c r="B342" s="36"/>
      <c r="C342" s="2"/>
      <c r="D342" s="36"/>
      <c r="E342" s="36"/>
      <c r="F342" s="36"/>
      <c r="G342" s="2"/>
      <c r="H342" s="2"/>
      <c r="I342" s="2"/>
      <c r="J342" s="2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 ht="15.75" customHeight="1">
      <c r="A343" s="36"/>
      <c r="B343" s="36"/>
      <c r="C343" s="2"/>
      <c r="D343" s="36"/>
      <c r="E343" s="36"/>
      <c r="F343" s="36"/>
      <c r="G343" s="2"/>
      <c r="H343" s="2"/>
      <c r="I343" s="2"/>
      <c r="J343" s="2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</row>
    <row r="344" ht="15.75" customHeight="1">
      <c r="A344" s="36"/>
      <c r="B344" s="36"/>
      <c r="C344" s="2"/>
      <c r="D344" s="36"/>
      <c r="E344" s="36"/>
      <c r="F344" s="36"/>
      <c r="G344" s="2"/>
      <c r="H344" s="2"/>
      <c r="I344" s="2"/>
      <c r="J344" s="2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</row>
    <row r="345" ht="15.75" customHeight="1">
      <c r="A345" s="36"/>
      <c r="B345" s="36"/>
      <c r="C345" s="2"/>
      <c r="D345" s="36"/>
      <c r="E345" s="36"/>
      <c r="F345" s="36"/>
      <c r="G345" s="2"/>
      <c r="H345" s="2"/>
      <c r="I345" s="2"/>
      <c r="J345" s="2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</row>
    <row r="346" ht="15.75" customHeight="1">
      <c r="A346" s="36"/>
      <c r="B346" s="36"/>
      <c r="C346" s="2"/>
      <c r="D346" s="36"/>
      <c r="E346" s="36"/>
      <c r="F346" s="36"/>
      <c r="G346" s="2"/>
      <c r="H346" s="2"/>
      <c r="I346" s="2"/>
      <c r="J346" s="2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</row>
    <row r="347" ht="15.75" customHeight="1">
      <c r="A347" s="36"/>
      <c r="B347" s="36"/>
      <c r="C347" s="2"/>
      <c r="D347" s="36"/>
      <c r="E347" s="36"/>
      <c r="F347" s="36"/>
      <c r="G347" s="2"/>
      <c r="H347" s="2"/>
      <c r="I347" s="2"/>
      <c r="J347" s="2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</row>
    <row r="348" ht="15.75" customHeight="1">
      <c r="A348" s="36"/>
      <c r="B348" s="36"/>
      <c r="C348" s="2"/>
      <c r="D348" s="36"/>
      <c r="E348" s="36"/>
      <c r="F348" s="36"/>
      <c r="G348" s="2"/>
      <c r="H348" s="2"/>
      <c r="I348" s="2"/>
      <c r="J348" s="2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</row>
    <row r="349" ht="15.75" customHeight="1">
      <c r="A349" s="36"/>
      <c r="B349" s="36"/>
      <c r="C349" s="2"/>
      <c r="D349" s="36"/>
      <c r="E349" s="36"/>
      <c r="F349" s="36"/>
      <c r="G349" s="2"/>
      <c r="H349" s="2"/>
      <c r="I349" s="2"/>
      <c r="J349" s="2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 ht="15.75" customHeight="1">
      <c r="A350" s="36"/>
      <c r="B350" s="36"/>
      <c r="C350" s="2"/>
      <c r="D350" s="36"/>
      <c r="E350" s="36"/>
      <c r="F350" s="36"/>
      <c r="G350" s="2"/>
      <c r="H350" s="2"/>
      <c r="I350" s="2"/>
      <c r="J350" s="2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</row>
    <row r="351" ht="15.75" customHeight="1">
      <c r="A351" s="36"/>
      <c r="B351" s="36"/>
      <c r="C351" s="2"/>
      <c r="D351" s="36"/>
      <c r="E351" s="36"/>
      <c r="F351" s="36"/>
      <c r="G351" s="2"/>
      <c r="H351" s="2"/>
      <c r="I351" s="2"/>
      <c r="J351" s="2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</row>
    <row r="352" ht="15.75" customHeight="1">
      <c r="A352" s="36"/>
      <c r="B352" s="36"/>
      <c r="C352" s="2"/>
      <c r="D352" s="36"/>
      <c r="E352" s="36"/>
      <c r="F352" s="36"/>
      <c r="G352" s="2"/>
      <c r="H352" s="2"/>
      <c r="I352" s="2"/>
      <c r="J352" s="2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</row>
    <row r="353" ht="15.75" customHeight="1">
      <c r="A353" s="36"/>
      <c r="B353" s="36"/>
      <c r="C353" s="2"/>
      <c r="D353" s="36"/>
      <c r="E353" s="36"/>
      <c r="F353" s="36"/>
      <c r="G353" s="2"/>
      <c r="H353" s="2"/>
      <c r="I353" s="2"/>
      <c r="J353" s="2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</row>
    <row r="354" ht="15.75" customHeight="1">
      <c r="A354" s="36"/>
      <c r="B354" s="36"/>
      <c r="C354" s="2"/>
      <c r="D354" s="36"/>
      <c r="E354" s="36"/>
      <c r="F354" s="36"/>
      <c r="G354" s="2"/>
      <c r="H354" s="2"/>
      <c r="I354" s="2"/>
      <c r="J354" s="2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</row>
    <row r="355" ht="15.75" customHeight="1">
      <c r="A355" s="36"/>
      <c r="B355" s="36"/>
      <c r="C355" s="2"/>
      <c r="D355" s="36"/>
      <c r="E355" s="36"/>
      <c r="F355" s="36"/>
      <c r="G355" s="2"/>
      <c r="H355" s="2"/>
      <c r="I355" s="2"/>
      <c r="J355" s="2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</row>
    <row r="356" ht="15.75" customHeight="1">
      <c r="A356" s="36"/>
      <c r="B356" s="36"/>
      <c r="C356" s="2"/>
      <c r="D356" s="36"/>
      <c r="E356" s="36"/>
      <c r="F356" s="36"/>
      <c r="G356" s="2"/>
      <c r="H356" s="2"/>
      <c r="I356" s="2"/>
      <c r="J356" s="2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</row>
    <row r="357" ht="15.75" customHeight="1">
      <c r="A357" s="36"/>
      <c r="B357" s="36"/>
      <c r="C357" s="2"/>
      <c r="D357" s="36"/>
      <c r="E357" s="36"/>
      <c r="F357" s="36"/>
      <c r="G357" s="2"/>
      <c r="H357" s="2"/>
      <c r="I357" s="2"/>
      <c r="J357" s="2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</row>
    <row r="358" ht="15.75" customHeight="1">
      <c r="A358" s="36"/>
      <c r="B358" s="36"/>
      <c r="C358" s="2"/>
      <c r="D358" s="36"/>
      <c r="E358" s="36"/>
      <c r="F358" s="36"/>
      <c r="G358" s="2"/>
      <c r="H358" s="2"/>
      <c r="I358" s="2"/>
      <c r="J358" s="2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 ht="15.75" customHeight="1">
      <c r="A359" s="36"/>
      <c r="B359" s="36"/>
      <c r="C359" s="2"/>
      <c r="D359" s="36"/>
      <c r="E359" s="36"/>
      <c r="F359" s="36"/>
      <c r="G359" s="2"/>
      <c r="H359" s="2"/>
      <c r="I359" s="2"/>
      <c r="J359" s="2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</row>
    <row r="360" ht="15.75" customHeight="1">
      <c r="A360" s="36"/>
      <c r="B360" s="36"/>
      <c r="C360" s="2"/>
      <c r="D360" s="36"/>
      <c r="E360" s="36"/>
      <c r="F360" s="36"/>
      <c r="G360" s="2"/>
      <c r="H360" s="2"/>
      <c r="I360" s="2"/>
      <c r="J360" s="2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 ht="15.75" customHeight="1">
      <c r="A361" s="36"/>
      <c r="B361" s="36"/>
      <c r="C361" s="2"/>
      <c r="D361" s="36"/>
      <c r="E361" s="36"/>
      <c r="F361" s="36"/>
      <c r="G361" s="2"/>
      <c r="H361" s="2"/>
      <c r="I361" s="2"/>
      <c r="J361" s="2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</row>
    <row r="362" ht="15.75" customHeight="1">
      <c r="A362" s="36"/>
      <c r="B362" s="36"/>
      <c r="C362" s="2"/>
      <c r="D362" s="36"/>
      <c r="E362" s="36"/>
      <c r="F362" s="36"/>
      <c r="G362" s="2"/>
      <c r="H362" s="2"/>
      <c r="I362" s="2"/>
      <c r="J362" s="2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 ht="15.75" customHeight="1">
      <c r="A363" s="36"/>
      <c r="B363" s="36"/>
      <c r="C363" s="2"/>
      <c r="D363" s="36"/>
      <c r="E363" s="36"/>
      <c r="F363" s="36"/>
      <c r="G363" s="2"/>
      <c r="H363" s="2"/>
      <c r="I363" s="2"/>
      <c r="J363" s="2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</row>
    <row r="364" ht="15.75" customHeight="1">
      <c r="A364" s="36"/>
      <c r="B364" s="36"/>
      <c r="C364" s="2"/>
      <c r="D364" s="36"/>
      <c r="E364" s="36"/>
      <c r="F364" s="36"/>
      <c r="G364" s="2"/>
      <c r="H364" s="2"/>
      <c r="I364" s="2"/>
      <c r="J364" s="2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</row>
    <row r="365" ht="15.75" customHeight="1">
      <c r="A365" s="36"/>
      <c r="B365" s="36"/>
      <c r="C365" s="2"/>
      <c r="D365" s="36"/>
      <c r="E365" s="36"/>
      <c r="F365" s="36"/>
      <c r="G365" s="2"/>
      <c r="H365" s="2"/>
      <c r="I365" s="2"/>
      <c r="J365" s="2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</row>
    <row r="366" ht="15.75" customHeight="1">
      <c r="A366" s="36"/>
      <c r="B366" s="36"/>
      <c r="C366" s="2"/>
      <c r="D366" s="36"/>
      <c r="E366" s="36"/>
      <c r="F366" s="36"/>
      <c r="G366" s="2"/>
      <c r="H366" s="2"/>
      <c r="I366" s="2"/>
      <c r="J366" s="2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</row>
    <row r="367" ht="15.75" customHeight="1">
      <c r="A367" s="36"/>
      <c r="B367" s="36"/>
      <c r="C367" s="2"/>
      <c r="D367" s="36"/>
      <c r="E367" s="36"/>
      <c r="F367" s="36"/>
      <c r="G367" s="2"/>
      <c r="H367" s="2"/>
      <c r="I367" s="2"/>
      <c r="J367" s="2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</row>
    <row r="368" ht="15.75" customHeight="1">
      <c r="A368" s="36"/>
      <c r="B368" s="36"/>
      <c r="C368" s="2"/>
      <c r="D368" s="36"/>
      <c r="E368" s="36"/>
      <c r="F368" s="36"/>
      <c r="G368" s="2"/>
      <c r="H368" s="2"/>
      <c r="I368" s="2"/>
      <c r="J368" s="2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</row>
    <row r="369" ht="15.75" customHeight="1">
      <c r="A369" s="36"/>
      <c r="B369" s="36"/>
      <c r="C369" s="2"/>
      <c r="D369" s="36"/>
      <c r="E369" s="36"/>
      <c r="F369" s="36"/>
      <c r="G369" s="2"/>
      <c r="H369" s="2"/>
      <c r="I369" s="2"/>
      <c r="J369" s="2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</row>
    <row r="370" ht="15.75" customHeight="1">
      <c r="A370" s="36"/>
      <c r="B370" s="36"/>
      <c r="C370" s="2"/>
      <c r="D370" s="36"/>
      <c r="E370" s="36"/>
      <c r="F370" s="36"/>
      <c r="G370" s="2"/>
      <c r="H370" s="2"/>
      <c r="I370" s="2"/>
      <c r="J370" s="2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 ht="15.75" customHeight="1">
      <c r="A371" s="36"/>
      <c r="B371" s="36"/>
      <c r="C371" s="2"/>
      <c r="D371" s="36"/>
      <c r="E371" s="36"/>
      <c r="F371" s="36"/>
      <c r="G371" s="2"/>
      <c r="H371" s="2"/>
      <c r="I371" s="2"/>
      <c r="J371" s="2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</row>
    <row r="372" ht="15.75" customHeight="1">
      <c r="A372" s="36"/>
      <c r="B372" s="36"/>
      <c r="C372" s="2"/>
      <c r="D372" s="36"/>
      <c r="E372" s="36"/>
      <c r="F372" s="36"/>
      <c r="G372" s="2"/>
      <c r="H372" s="2"/>
      <c r="I372" s="2"/>
      <c r="J372" s="2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</row>
    <row r="373" ht="15.75" customHeight="1">
      <c r="A373" s="36"/>
      <c r="B373" s="36"/>
      <c r="C373" s="2"/>
      <c r="D373" s="36"/>
      <c r="E373" s="36"/>
      <c r="F373" s="36"/>
      <c r="G373" s="2"/>
      <c r="H373" s="2"/>
      <c r="I373" s="2"/>
      <c r="J373" s="2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</row>
    <row r="374" ht="15.75" customHeight="1">
      <c r="A374" s="36"/>
      <c r="B374" s="36"/>
      <c r="C374" s="2"/>
      <c r="D374" s="36"/>
      <c r="E374" s="36"/>
      <c r="F374" s="36"/>
      <c r="G374" s="2"/>
      <c r="H374" s="2"/>
      <c r="I374" s="2"/>
      <c r="J374" s="2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</row>
    <row r="375" ht="15.75" customHeight="1">
      <c r="A375" s="36"/>
      <c r="B375" s="36"/>
      <c r="C375" s="2"/>
      <c r="D375" s="36"/>
      <c r="E375" s="36"/>
      <c r="F375" s="36"/>
      <c r="G375" s="2"/>
      <c r="H375" s="2"/>
      <c r="I375" s="2"/>
      <c r="J375" s="2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</row>
    <row r="376" ht="15.75" customHeight="1">
      <c r="A376" s="36"/>
      <c r="B376" s="36"/>
      <c r="C376" s="2"/>
      <c r="D376" s="36"/>
      <c r="E376" s="36"/>
      <c r="F376" s="36"/>
      <c r="G376" s="2"/>
      <c r="H376" s="2"/>
      <c r="I376" s="2"/>
      <c r="J376" s="2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</row>
    <row r="377" ht="15.75" customHeight="1">
      <c r="A377" s="36"/>
      <c r="B377" s="36"/>
      <c r="C377" s="2"/>
      <c r="D377" s="36"/>
      <c r="E377" s="36"/>
      <c r="F377" s="36"/>
      <c r="G377" s="2"/>
      <c r="H377" s="2"/>
      <c r="I377" s="2"/>
      <c r="J377" s="2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</row>
    <row r="378" ht="15.75" customHeight="1">
      <c r="A378" s="36"/>
      <c r="B378" s="36"/>
      <c r="C378" s="2"/>
      <c r="D378" s="36"/>
      <c r="E378" s="36"/>
      <c r="F378" s="36"/>
      <c r="G378" s="2"/>
      <c r="H378" s="2"/>
      <c r="I378" s="2"/>
      <c r="J378" s="2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</row>
    <row r="379" ht="15.75" customHeight="1">
      <c r="A379" s="36"/>
      <c r="B379" s="36"/>
      <c r="C379" s="2"/>
      <c r="D379" s="36"/>
      <c r="E379" s="36"/>
      <c r="F379" s="36"/>
      <c r="G379" s="2"/>
      <c r="H379" s="2"/>
      <c r="I379" s="2"/>
      <c r="J379" s="2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</row>
    <row r="380" ht="15.75" customHeight="1">
      <c r="A380" s="36"/>
      <c r="B380" s="36"/>
      <c r="C380" s="2"/>
      <c r="D380" s="36"/>
      <c r="E380" s="36"/>
      <c r="F380" s="36"/>
      <c r="G380" s="2"/>
      <c r="H380" s="2"/>
      <c r="I380" s="2"/>
      <c r="J380" s="2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 ht="15.75" customHeight="1">
      <c r="A381" s="36"/>
      <c r="B381" s="36"/>
      <c r="C381" s="2"/>
      <c r="D381" s="36"/>
      <c r="E381" s="36"/>
      <c r="F381" s="36"/>
      <c r="G381" s="2"/>
      <c r="H381" s="2"/>
      <c r="I381" s="2"/>
      <c r="J381" s="2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 ht="15.75" customHeight="1">
      <c r="A382" s="36"/>
      <c r="B382" s="36"/>
      <c r="C382" s="2"/>
      <c r="D382" s="36"/>
      <c r="E382" s="36"/>
      <c r="F382" s="36"/>
      <c r="G382" s="2"/>
      <c r="H382" s="2"/>
      <c r="I382" s="2"/>
      <c r="J382" s="2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 ht="15.75" customHeight="1">
      <c r="A383" s="36"/>
      <c r="B383" s="36"/>
      <c r="C383" s="2"/>
      <c r="D383" s="36"/>
      <c r="E383" s="36"/>
      <c r="F383" s="36"/>
      <c r="G383" s="2"/>
      <c r="H383" s="2"/>
      <c r="I383" s="2"/>
      <c r="J383" s="2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</row>
    <row r="384" ht="15.75" customHeight="1">
      <c r="A384" s="36"/>
      <c r="B384" s="36"/>
      <c r="C384" s="2"/>
      <c r="D384" s="36"/>
      <c r="E384" s="36"/>
      <c r="F384" s="36"/>
      <c r="G384" s="2"/>
      <c r="H384" s="2"/>
      <c r="I384" s="2"/>
      <c r="J384" s="2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</row>
    <row r="385" ht="15.75" customHeight="1">
      <c r="A385" s="36"/>
      <c r="B385" s="36"/>
      <c r="C385" s="2"/>
      <c r="D385" s="36"/>
      <c r="E385" s="36"/>
      <c r="F385" s="36"/>
      <c r="G385" s="2"/>
      <c r="H385" s="2"/>
      <c r="I385" s="2"/>
      <c r="J385" s="2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</row>
    <row r="386" ht="15.75" customHeight="1">
      <c r="A386" s="36"/>
      <c r="B386" s="36"/>
      <c r="C386" s="2"/>
      <c r="D386" s="36"/>
      <c r="E386" s="36"/>
      <c r="F386" s="36"/>
      <c r="G386" s="2"/>
      <c r="H386" s="2"/>
      <c r="I386" s="2"/>
      <c r="J386" s="2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</row>
    <row r="387" ht="15.75" customHeight="1">
      <c r="A387" s="36"/>
      <c r="B387" s="36"/>
      <c r="C387" s="2"/>
      <c r="D387" s="36"/>
      <c r="E387" s="36"/>
      <c r="F387" s="36"/>
      <c r="G387" s="2"/>
      <c r="H387" s="2"/>
      <c r="I387" s="2"/>
      <c r="J387" s="2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</row>
    <row r="388" ht="15.75" customHeight="1">
      <c r="A388" s="36"/>
      <c r="B388" s="36"/>
      <c r="C388" s="2"/>
      <c r="D388" s="36"/>
      <c r="E388" s="36"/>
      <c r="F388" s="36"/>
      <c r="G388" s="2"/>
      <c r="H388" s="2"/>
      <c r="I388" s="2"/>
      <c r="J388" s="2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</row>
    <row r="389" ht="15.75" customHeight="1">
      <c r="A389" s="36"/>
      <c r="B389" s="36"/>
      <c r="C389" s="2"/>
      <c r="D389" s="36"/>
      <c r="E389" s="36"/>
      <c r="F389" s="36"/>
      <c r="G389" s="2"/>
      <c r="H389" s="2"/>
      <c r="I389" s="2"/>
      <c r="J389" s="2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</row>
    <row r="390" ht="15.75" customHeight="1">
      <c r="A390" s="36"/>
      <c r="B390" s="36"/>
      <c r="C390" s="2"/>
      <c r="D390" s="36"/>
      <c r="E390" s="36"/>
      <c r="F390" s="36"/>
      <c r="G390" s="2"/>
      <c r="H390" s="2"/>
      <c r="I390" s="2"/>
      <c r="J390" s="2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</row>
    <row r="391" ht="15.75" customHeight="1">
      <c r="A391" s="36"/>
      <c r="B391" s="36"/>
      <c r="C391" s="2"/>
      <c r="D391" s="36"/>
      <c r="E391" s="36"/>
      <c r="F391" s="36"/>
      <c r="G391" s="2"/>
      <c r="H391" s="2"/>
      <c r="I391" s="2"/>
      <c r="J391" s="2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 ht="15.75" customHeight="1">
      <c r="A392" s="36"/>
      <c r="B392" s="36"/>
      <c r="C392" s="2"/>
      <c r="D392" s="36"/>
      <c r="E392" s="36"/>
      <c r="F392" s="36"/>
      <c r="G392" s="2"/>
      <c r="H392" s="2"/>
      <c r="I392" s="2"/>
      <c r="J392" s="2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</row>
    <row r="393" ht="15.75" customHeight="1">
      <c r="A393" s="36"/>
      <c r="B393" s="36"/>
      <c r="C393" s="2"/>
      <c r="D393" s="36"/>
      <c r="E393" s="36"/>
      <c r="F393" s="36"/>
      <c r="G393" s="2"/>
      <c r="H393" s="2"/>
      <c r="I393" s="2"/>
      <c r="J393" s="2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</row>
    <row r="394" ht="15.75" customHeight="1">
      <c r="A394" s="36"/>
      <c r="B394" s="36"/>
      <c r="C394" s="2"/>
      <c r="D394" s="36"/>
      <c r="E394" s="36"/>
      <c r="F394" s="36"/>
      <c r="G394" s="2"/>
      <c r="H394" s="2"/>
      <c r="I394" s="2"/>
      <c r="J394" s="2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</row>
    <row r="395" ht="15.75" customHeight="1">
      <c r="A395" s="36"/>
      <c r="B395" s="36"/>
      <c r="C395" s="2"/>
      <c r="D395" s="36"/>
      <c r="E395" s="36"/>
      <c r="F395" s="36"/>
      <c r="G395" s="2"/>
      <c r="H395" s="2"/>
      <c r="I395" s="2"/>
      <c r="J395" s="2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</row>
    <row r="396" ht="15.75" customHeight="1">
      <c r="A396" s="36"/>
      <c r="B396" s="36"/>
      <c r="C396" s="2"/>
      <c r="D396" s="36"/>
      <c r="E396" s="36"/>
      <c r="F396" s="36"/>
      <c r="G396" s="2"/>
      <c r="H396" s="2"/>
      <c r="I396" s="2"/>
      <c r="J396" s="2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</row>
    <row r="397" ht="15.75" customHeight="1">
      <c r="A397" s="36"/>
      <c r="B397" s="36"/>
      <c r="C397" s="2"/>
      <c r="D397" s="36"/>
      <c r="E397" s="36"/>
      <c r="F397" s="36"/>
      <c r="G397" s="2"/>
      <c r="H397" s="2"/>
      <c r="I397" s="2"/>
      <c r="J397" s="2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</row>
    <row r="398" ht="15.75" customHeight="1">
      <c r="A398" s="36"/>
      <c r="B398" s="36"/>
      <c r="C398" s="2"/>
      <c r="D398" s="36"/>
      <c r="E398" s="36"/>
      <c r="F398" s="36"/>
      <c r="G398" s="2"/>
      <c r="H398" s="2"/>
      <c r="I398" s="2"/>
      <c r="J398" s="2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</row>
    <row r="399" ht="15.75" customHeight="1">
      <c r="A399" s="36"/>
      <c r="B399" s="36"/>
      <c r="C399" s="2"/>
      <c r="D399" s="36"/>
      <c r="E399" s="36"/>
      <c r="F399" s="36"/>
      <c r="G399" s="2"/>
      <c r="H399" s="2"/>
      <c r="I399" s="2"/>
      <c r="J399" s="2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</row>
    <row r="400" ht="15.75" customHeight="1">
      <c r="A400" s="36"/>
      <c r="B400" s="36"/>
      <c r="C400" s="2"/>
      <c r="D400" s="36"/>
      <c r="E400" s="36"/>
      <c r="F400" s="36"/>
      <c r="G400" s="2"/>
      <c r="H400" s="2"/>
      <c r="I400" s="2"/>
      <c r="J400" s="2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</row>
    <row r="401" ht="15.75" customHeight="1">
      <c r="A401" s="36"/>
      <c r="B401" s="36"/>
      <c r="C401" s="2"/>
      <c r="D401" s="36"/>
      <c r="E401" s="36"/>
      <c r="F401" s="36"/>
      <c r="G401" s="2"/>
      <c r="H401" s="2"/>
      <c r="I401" s="2"/>
      <c r="J401" s="2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</row>
    <row r="402" ht="15.75" customHeight="1">
      <c r="A402" s="36"/>
      <c r="B402" s="36"/>
      <c r="C402" s="2"/>
      <c r="D402" s="36"/>
      <c r="E402" s="36"/>
      <c r="F402" s="36"/>
      <c r="G402" s="2"/>
      <c r="H402" s="2"/>
      <c r="I402" s="2"/>
      <c r="J402" s="2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</row>
    <row r="403" ht="15.75" customHeight="1">
      <c r="A403" s="36"/>
      <c r="B403" s="36"/>
      <c r="C403" s="2"/>
      <c r="D403" s="36"/>
      <c r="E403" s="36"/>
      <c r="F403" s="36"/>
      <c r="G403" s="2"/>
      <c r="H403" s="2"/>
      <c r="I403" s="2"/>
      <c r="J403" s="2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</row>
    <row r="404" ht="15.75" customHeight="1">
      <c r="A404" s="36"/>
      <c r="B404" s="36"/>
      <c r="C404" s="2"/>
      <c r="D404" s="36"/>
      <c r="E404" s="36"/>
      <c r="F404" s="36"/>
      <c r="G404" s="2"/>
      <c r="H404" s="2"/>
      <c r="I404" s="2"/>
      <c r="J404" s="2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</row>
    <row r="405" ht="15.75" customHeight="1">
      <c r="A405" s="36"/>
      <c r="B405" s="36"/>
      <c r="C405" s="2"/>
      <c r="D405" s="36"/>
      <c r="E405" s="36"/>
      <c r="F405" s="36"/>
      <c r="G405" s="2"/>
      <c r="H405" s="2"/>
      <c r="I405" s="2"/>
      <c r="J405" s="2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</row>
    <row r="406" ht="15.75" customHeight="1">
      <c r="A406" s="36"/>
      <c r="B406" s="36"/>
      <c r="C406" s="2"/>
      <c r="D406" s="36"/>
      <c r="E406" s="36"/>
      <c r="F406" s="36"/>
      <c r="G406" s="2"/>
      <c r="H406" s="2"/>
      <c r="I406" s="2"/>
      <c r="J406" s="2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</row>
    <row r="407" ht="15.75" customHeight="1">
      <c r="A407" s="36"/>
      <c r="B407" s="36"/>
      <c r="C407" s="2"/>
      <c r="D407" s="36"/>
      <c r="E407" s="36"/>
      <c r="F407" s="36"/>
      <c r="G407" s="2"/>
      <c r="H407" s="2"/>
      <c r="I407" s="2"/>
      <c r="J407" s="2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</row>
    <row r="408" ht="15.75" customHeight="1">
      <c r="A408" s="36"/>
      <c r="B408" s="36"/>
      <c r="C408" s="2"/>
      <c r="D408" s="36"/>
      <c r="E408" s="36"/>
      <c r="F408" s="36"/>
      <c r="G408" s="2"/>
      <c r="H408" s="2"/>
      <c r="I408" s="2"/>
      <c r="J408" s="2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</row>
    <row r="409" ht="15.75" customHeight="1">
      <c r="A409" s="36"/>
      <c r="B409" s="36"/>
      <c r="C409" s="2"/>
      <c r="D409" s="36"/>
      <c r="E409" s="36"/>
      <c r="F409" s="36"/>
      <c r="G409" s="2"/>
      <c r="H409" s="2"/>
      <c r="I409" s="2"/>
      <c r="J409" s="2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</row>
    <row r="410" ht="15.75" customHeight="1">
      <c r="A410" s="36"/>
      <c r="B410" s="36"/>
      <c r="C410" s="2"/>
      <c r="D410" s="36"/>
      <c r="E410" s="36"/>
      <c r="F410" s="36"/>
      <c r="G410" s="2"/>
      <c r="H410" s="2"/>
      <c r="I410" s="2"/>
      <c r="J410" s="2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</row>
    <row r="411" ht="15.75" customHeight="1">
      <c r="A411" s="36"/>
      <c r="B411" s="36"/>
      <c r="C411" s="2"/>
      <c r="D411" s="36"/>
      <c r="E411" s="36"/>
      <c r="F411" s="36"/>
      <c r="G411" s="2"/>
      <c r="H411" s="2"/>
      <c r="I411" s="2"/>
      <c r="J411" s="2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</row>
    <row r="412" ht="15.75" customHeight="1">
      <c r="A412" s="36"/>
      <c r="B412" s="36"/>
      <c r="C412" s="2"/>
      <c r="D412" s="36"/>
      <c r="E412" s="36"/>
      <c r="F412" s="36"/>
      <c r="G412" s="2"/>
      <c r="H412" s="2"/>
      <c r="I412" s="2"/>
      <c r="J412" s="2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</row>
    <row r="413" ht="15.75" customHeight="1">
      <c r="A413" s="36"/>
      <c r="B413" s="36"/>
      <c r="C413" s="2"/>
      <c r="D413" s="36"/>
      <c r="E413" s="36"/>
      <c r="F413" s="36"/>
      <c r="G413" s="2"/>
      <c r="H413" s="2"/>
      <c r="I413" s="2"/>
      <c r="J413" s="2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</row>
    <row r="414" ht="15.75" customHeight="1">
      <c r="A414" s="36"/>
      <c r="B414" s="36"/>
      <c r="C414" s="2"/>
      <c r="D414" s="36"/>
      <c r="E414" s="36"/>
      <c r="F414" s="36"/>
      <c r="G414" s="2"/>
      <c r="H414" s="2"/>
      <c r="I414" s="2"/>
      <c r="J414" s="2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</row>
    <row r="415" ht="15.75" customHeight="1">
      <c r="A415" s="36"/>
      <c r="B415" s="36"/>
      <c r="C415" s="2"/>
      <c r="D415" s="36"/>
      <c r="E415" s="36"/>
      <c r="F415" s="36"/>
      <c r="G415" s="2"/>
      <c r="H415" s="2"/>
      <c r="I415" s="2"/>
      <c r="J415" s="2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</row>
    <row r="416" ht="15.75" customHeight="1">
      <c r="A416" s="36"/>
      <c r="B416" s="36"/>
      <c r="C416" s="2"/>
      <c r="D416" s="36"/>
      <c r="E416" s="36"/>
      <c r="F416" s="36"/>
      <c r="G416" s="2"/>
      <c r="H416" s="2"/>
      <c r="I416" s="2"/>
      <c r="J416" s="2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</row>
    <row r="417" ht="15.75" customHeight="1">
      <c r="A417" s="36"/>
      <c r="B417" s="36"/>
      <c r="C417" s="2"/>
      <c r="D417" s="36"/>
      <c r="E417" s="36"/>
      <c r="F417" s="36"/>
      <c r="G417" s="2"/>
      <c r="H417" s="2"/>
      <c r="I417" s="2"/>
      <c r="J417" s="2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</row>
    <row r="418" ht="15.75" customHeight="1">
      <c r="A418" s="36"/>
      <c r="B418" s="36"/>
      <c r="C418" s="2"/>
      <c r="D418" s="36"/>
      <c r="E418" s="36"/>
      <c r="F418" s="36"/>
      <c r="G418" s="2"/>
      <c r="H418" s="2"/>
      <c r="I418" s="2"/>
      <c r="J418" s="2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</row>
    <row r="419" ht="15.75" customHeight="1">
      <c r="A419" s="36"/>
      <c r="B419" s="36"/>
      <c r="C419" s="2"/>
      <c r="D419" s="36"/>
      <c r="E419" s="36"/>
      <c r="F419" s="36"/>
      <c r="G419" s="2"/>
      <c r="H419" s="2"/>
      <c r="I419" s="2"/>
      <c r="J419" s="2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</row>
    <row r="420" ht="15.75" customHeight="1">
      <c r="A420" s="36"/>
      <c r="B420" s="36"/>
      <c r="C420" s="2"/>
      <c r="D420" s="36"/>
      <c r="E420" s="36"/>
      <c r="F420" s="36"/>
      <c r="G420" s="2"/>
      <c r="H420" s="2"/>
      <c r="I420" s="2"/>
      <c r="J420" s="2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</row>
    <row r="421" ht="15.75" customHeight="1">
      <c r="A421" s="36"/>
      <c r="B421" s="36"/>
      <c r="C421" s="2"/>
      <c r="D421" s="36"/>
      <c r="E421" s="36"/>
      <c r="F421" s="36"/>
      <c r="G421" s="2"/>
      <c r="H421" s="2"/>
      <c r="I421" s="2"/>
      <c r="J421" s="2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</row>
    <row r="422" ht="15.75" customHeight="1">
      <c r="A422" s="36"/>
      <c r="B422" s="36"/>
      <c r="C422" s="2"/>
      <c r="D422" s="36"/>
      <c r="E422" s="36"/>
      <c r="F422" s="36"/>
      <c r="G422" s="2"/>
      <c r="H422" s="2"/>
      <c r="I422" s="2"/>
      <c r="J422" s="2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</row>
    <row r="423" ht="15.75" customHeight="1">
      <c r="A423" s="36"/>
      <c r="B423" s="36"/>
      <c r="C423" s="2"/>
      <c r="D423" s="36"/>
      <c r="E423" s="36"/>
      <c r="F423" s="36"/>
      <c r="G423" s="2"/>
      <c r="H423" s="2"/>
      <c r="I423" s="2"/>
      <c r="J423" s="2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</row>
    <row r="424" ht="15.75" customHeight="1">
      <c r="A424" s="36"/>
      <c r="B424" s="36"/>
      <c r="C424" s="2"/>
      <c r="D424" s="36"/>
      <c r="E424" s="36"/>
      <c r="F424" s="36"/>
      <c r="G424" s="2"/>
      <c r="H424" s="2"/>
      <c r="I424" s="2"/>
      <c r="J424" s="2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</row>
    <row r="425" ht="15.75" customHeight="1">
      <c r="A425" s="36"/>
      <c r="B425" s="36"/>
      <c r="C425" s="2"/>
      <c r="D425" s="36"/>
      <c r="E425" s="36"/>
      <c r="F425" s="36"/>
      <c r="G425" s="2"/>
      <c r="H425" s="2"/>
      <c r="I425" s="2"/>
      <c r="J425" s="2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</row>
    <row r="426" ht="15.75" customHeight="1">
      <c r="A426" s="36"/>
      <c r="B426" s="36"/>
      <c r="C426" s="2"/>
      <c r="D426" s="36"/>
      <c r="E426" s="36"/>
      <c r="F426" s="36"/>
      <c r="G426" s="2"/>
      <c r="H426" s="2"/>
      <c r="I426" s="2"/>
      <c r="J426" s="2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</row>
    <row r="427" ht="15.75" customHeight="1">
      <c r="A427" s="36"/>
      <c r="B427" s="36"/>
      <c r="C427" s="2"/>
      <c r="D427" s="36"/>
      <c r="E427" s="36"/>
      <c r="F427" s="36"/>
      <c r="G427" s="2"/>
      <c r="H427" s="2"/>
      <c r="I427" s="2"/>
      <c r="J427" s="2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</row>
    <row r="428" ht="15.75" customHeight="1">
      <c r="A428" s="36"/>
      <c r="B428" s="36"/>
      <c r="C428" s="2"/>
      <c r="D428" s="36"/>
      <c r="E428" s="36"/>
      <c r="F428" s="36"/>
      <c r="G428" s="2"/>
      <c r="H428" s="2"/>
      <c r="I428" s="2"/>
      <c r="J428" s="2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</row>
    <row r="429" ht="15.75" customHeight="1">
      <c r="A429" s="36"/>
      <c r="B429" s="36"/>
      <c r="C429" s="2"/>
      <c r="D429" s="36"/>
      <c r="E429" s="36"/>
      <c r="F429" s="36"/>
      <c r="G429" s="2"/>
      <c r="H429" s="2"/>
      <c r="I429" s="2"/>
      <c r="J429" s="2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</row>
    <row r="430" ht="15.75" customHeight="1">
      <c r="A430" s="36"/>
      <c r="B430" s="36"/>
      <c r="C430" s="2"/>
      <c r="D430" s="36"/>
      <c r="E430" s="36"/>
      <c r="F430" s="36"/>
      <c r="G430" s="2"/>
      <c r="H430" s="2"/>
      <c r="I430" s="2"/>
      <c r="J430" s="2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</row>
    <row r="431" ht="15.75" customHeight="1">
      <c r="A431" s="36"/>
      <c r="B431" s="36"/>
      <c r="C431" s="2"/>
      <c r="D431" s="36"/>
      <c r="E431" s="36"/>
      <c r="F431" s="36"/>
      <c r="G431" s="2"/>
      <c r="H431" s="2"/>
      <c r="I431" s="2"/>
      <c r="J431" s="2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</row>
    <row r="432" ht="15.75" customHeight="1">
      <c r="A432" s="36"/>
      <c r="B432" s="36"/>
      <c r="C432" s="2"/>
      <c r="D432" s="36"/>
      <c r="E432" s="36"/>
      <c r="F432" s="36"/>
      <c r="G432" s="2"/>
      <c r="H432" s="2"/>
      <c r="I432" s="2"/>
      <c r="J432" s="2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</row>
    <row r="433" ht="15.75" customHeight="1">
      <c r="A433" s="36"/>
      <c r="B433" s="36"/>
      <c r="C433" s="2"/>
      <c r="D433" s="36"/>
      <c r="E433" s="36"/>
      <c r="F433" s="36"/>
      <c r="G433" s="2"/>
      <c r="H433" s="2"/>
      <c r="I433" s="2"/>
      <c r="J433" s="2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</row>
    <row r="434" ht="15.75" customHeight="1">
      <c r="A434" s="36"/>
      <c r="B434" s="36"/>
      <c r="C434" s="2"/>
      <c r="D434" s="36"/>
      <c r="E434" s="36"/>
      <c r="F434" s="36"/>
      <c r="G434" s="2"/>
      <c r="H434" s="2"/>
      <c r="I434" s="2"/>
      <c r="J434" s="2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</row>
    <row r="435" ht="15.75" customHeight="1">
      <c r="A435" s="36"/>
      <c r="B435" s="36"/>
      <c r="C435" s="2"/>
      <c r="D435" s="36"/>
      <c r="E435" s="36"/>
      <c r="F435" s="36"/>
      <c r="G435" s="2"/>
      <c r="H435" s="2"/>
      <c r="I435" s="2"/>
      <c r="J435" s="2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</row>
    <row r="436" ht="15.75" customHeight="1">
      <c r="A436" s="36"/>
      <c r="B436" s="36"/>
      <c r="C436" s="2"/>
      <c r="D436" s="36"/>
      <c r="E436" s="36"/>
      <c r="F436" s="36"/>
      <c r="G436" s="2"/>
      <c r="H436" s="2"/>
      <c r="I436" s="2"/>
      <c r="J436" s="2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</row>
    <row r="437" ht="15.75" customHeight="1">
      <c r="A437" s="36"/>
      <c r="B437" s="36"/>
      <c r="C437" s="2"/>
      <c r="D437" s="36"/>
      <c r="E437" s="36"/>
      <c r="F437" s="36"/>
      <c r="G437" s="2"/>
      <c r="H437" s="2"/>
      <c r="I437" s="2"/>
      <c r="J437" s="2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</row>
    <row r="438" ht="15.75" customHeight="1">
      <c r="A438" s="36"/>
      <c r="B438" s="36"/>
      <c r="C438" s="2"/>
      <c r="D438" s="36"/>
      <c r="E438" s="36"/>
      <c r="F438" s="36"/>
      <c r="G438" s="2"/>
      <c r="H438" s="2"/>
      <c r="I438" s="2"/>
      <c r="J438" s="2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</row>
    <row r="439" ht="15.75" customHeight="1">
      <c r="A439" s="36"/>
      <c r="B439" s="36"/>
      <c r="C439" s="2"/>
      <c r="D439" s="36"/>
      <c r="E439" s="36"/>
      <c r="F439" s="36"/>
      <c r="G439" s="2"/>
      <c r="H439" s="2"/>
      <c r="I439" s="2"/>
      <c r="J439" s="2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</row>
    <row r="440" ht="15.75" customHeight="1">
      <c r="A440" s="36"/>
      <c r="B440" s="36"/>
      <c r="C440" s="2"/>
      <c r="D440" s="36"/>
      <c r="E440" s="36"/>
      <c r="F440" s="36"/>
      <c r="G440" s="2"/>
      <c r="H440" s="2"/>
      <c r="I440" s="2"/>
      <c r="J440" s="2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</row>
    <row r="441" ht="15.75" customHeight="1">
      <c r="A441" s="36"/>
      <c r="B441" s="36"/>
      <c r="C441" s="2"/>
      <c r="D441" s="36"/>
      <c r="E441" s="36"/>
      <c r="F441" s="36"/>
      <c r="G441" s="2"/>
      <c r="H441" s="2"/>
      <c r="I441" s="2"/>
      <c r="J441" s="2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</row>
    <row r="442" ht="15.75" customHeight="1">
      <c r="A442" s="36"/>
      <c r="B442" s="36"/>
      <c r="C442" s="2"/>
      <c r="D442" s="36"/>
      <c r="E442" s="36"/>
      <c r="F442" s="36"/>
      <c r="G442" s="2"/>
      <c r="H442" s="2"/>
      <c r="I442" s="2"/>
      <c r="J442" s="2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</row>
    <row r="443" ht="15.75" customHeight="1">
      <c r="A443" s="36"/>
      <c r="B443" s="36"/>
      <c r="C443" s="2"/>
      <c r="D443" s="36"/>
      <c r="E443" s="36"/>
      <c r="F443" s="36"/>
      <c r="G443" s="2"/>
      <c r="H443" s="2"/>
      <c r="I443" s="2"/>
      <c r="J443" s="2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</row>
    <row r="444" ht="15.75" customHeight="1">
      <c r="A444" s="36"/>
      <c r="B444" s="36"/>
      <c r="C444" s="2"/>
      <c r="D444" s="36"/>
      <c r="E444" s="36"/>
      <c r="F444" s="36"/>
      <c r="G444" s="2"/>
      <c r="H444" s="2"/>
      <c r="I444" s="2"/>
      <c r="J444" s="2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</row>
    <row r="445" ht="15.75" customHeight="1">
      <c r="A445" s="36"/>
      <c r="B445" s="36"/>
      <c r="C445" s="2"/>
      <c r="D445" s="36"/>
      <c r="E445" s="36"/>
      <c r="F445" s="36"/>
      <c r="G445" s="2"/>
      <c r="H445" s="2"/>
      <c r="I445" s="2"/>
      <c r="J445" s="2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</row>
    <row r="446" ht="15.75" customHeight="1">
      <c r="A446" s="36"/>
      <c r="B446" s="36"/>
      <c r="C446" s="2"/>
      <c r="D446" s="36"/>
      <c r="E446" s="36"/>
      <c r="F446" s="36"/>
      <c r="G446" s="2"/>
      <c r="H446" s="2"/>
      <c r="I446" s="2"/>
      <c r="J446" s="2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</row>
    <row r="447" ht="15.75" customHeight="1">
      <c r="A447" s="36"/>
      <c r="B447" s="36"/>
      <c r="C447" s="2"/>
      <c r="D447" s="36"/>
      <c r="E447" s="36"/>
      <c r="F447" s="36"/>
      <c r="G447" s="2"/>
      <c r="H447" s="2"/>
      <c r="I447" s="2"/>
      <c r="J447" s="2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</row>
    <row r="448" ht="15.75" customHeight="1">
      <c r="A448" s="36"/>
      <c r="B448" s="36"/>
      <c r="C448" s="2"/>
      <c r="D448" s="36"/>
      <c r="E448" s="36"/>
      <c r="F448" s="36"/>
      <c r="G448" s="2"/>
      <c r="H448" s="2"/>
      <c r="I448" s="2"/>
      <c r="J448" s="2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</row>
    <row r="449" ht="15.75" customHeight="1">
      <c r="A449" s="36"/>
      <c r="B449" s="36"/>
      <c r="C449" s="2"/>
      <c r="D449" s="36"/>
      <c r="E449" s="36"/>
      <c r="F449" s="36"/>
      <c r="G449" s="2"/>
      <c r="H449" s="2"/>
      <c r="I449" s="2"/>
      <c r="J449" s="2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</row>
    <row r="450" ht="15.75" customHeight="1">
      <c r="A450" s="36"/>
      <c r="B450" s="36"/>
      <c r="C450" s="2"/>
      <c r="D450" s="36"/>
      <c r="E450" s="36"/>
      <c r="F450" s="36"/>
      <c r="G450" s="2"/>
      <c r="H450" s="2"/>
      <c r="I450" s="2"/>
      <c r="J450" s="2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</row>
    <row r="451" ht="15.75" customHeight="1">
      <c r="A451" s="36"/>
      <c r="B451" s="36"/>
      <c r="C451" s="2"/>
      <c r="D451" s="36"/>
      <c r="E451" s="36"/>
      <c r="F451" s="36"/>
      <c r="G451" s="2"/>
      <c r="H451" s="2"/>
      <c r="I451" s="2"/>
      <c r="J451" s="2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</row>
    <row r="452" ht="15.75" customHeight="1">
      <c r="A452" s="36"/>
      <c r="B452" s="36"/>
      <c r="C452" s="2"/>
      <c r="D452" s="36"/>
      <c r="E452" s="36"/>
      <c r="F452" s="36"/>
      <c r="G452" s="2"/>
      <c r="H452" s="2"/>
      <c r="I452" s="2"/>
      <c r="J452" s="2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</row>
    <row r="453" ht="15.75" customHeight="1">
      <c r="A453" s="36"/>
      <c r="B453" s="36"/>
      <c r="C453" s="2"/>
      <c r="D453" s="36"/>
      <c r="E453" s="36"/>
      <c r="F453" s="36"/>
      <c r="G453" s="2"/>
      <c r="H453" s="2"/>
      <c r="I453" s="2"/>
      <c r="J453" s="2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</row>
    <row r="454" ht="15.75" customHeight="1">
      <c r="A454" s="36"/>
      <c r="B454" s="36"/>
      <c r="C454" s="2"/>
      <c r="D454" s="36"/>
      <c r="E454" s="36"/>
      <c r="F454" s="36"/>
      <c r="G454" s="2"/>
      <c r="H454" s="2"/>
      <c r="I454" s="2"/>
      <c r="J454" s="2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</row>
    <row r="455" ht="15.75" customHeight="1">
      <c r="A455" s="36"/>
      <c r="B455" s="36"/>
      <c r="C455" s="2"/>
      <c r="D455" s="36"/>
      <c r="E455" s="36"/>
      <c r="F455" s="36"/>
      <c r="G455" s="2"/>
      <c r="H455" s="2"/>
      <c r="I455" s="2"/>
      <c r="J455" s="2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</row>
    <row r="456" ht="15.75" customHeight="1">
      <c r="A456" s="36"/>
      <c r="B456" s="36"/>
      <c r="C456" s="2"/>
      <c r="D456" s="36"/>
      <c r="E456" s="36"/>
      <c r="F456" s="36"/>
      <c r="G456" s="2"/>
      <c r="H456" s="2"/>
      <c r="I456" s="2"/>
      <c r="J456" s="2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</row>
    <row r="457" ht="15.75" customHeight="1">
      <c r="A457" s="36"/>
      <c r="B457" s="36"/>
      <c r="C457" s="2"/>
      <c r="D457" s="36"/>
      <c r="E457" s="36"/>
      <c r="F457" s="36"/>
      <c r="G457" s="2"/>
      <c r="H457" s="2"/>
      <c r="I457" s="2"/>
      <c r="J457" s="2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</row>
    <row r="458" ht="15.75" customHeight="1">
      <c r="A458" s="36"/>
      <c r="B458" s="36"/>
      <c r="C458" s="2"/>
      <c r="D458" s="36"/>
      <c r="E458" s="36"/>
      <c r="F458" s="36"/>
      <c r="G458" s="2"/>
      <c r="H458" s="2"/>
      <c r="I458" s="2"/>
      <c r="J458" s="2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</row>
    <row r="459" ht="15.75" customHeight="1">
      <c r="A459" s="36"/>
      <c r="B459" s="36"/>
      <c r="C459" s="2"/>
      <c r="D459" s="36"/>
      <c r="E459" s="36"/>
      <c r="F459" s="36"/>
      <c r="G459" s="2"/>
      <c r="H459" s="2"/>
      <c r="I459" s="2"/>
      <c r="J459" s="2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</row>
    <row r="460" ht="15.75" customHeight="1">
      <c r="A460" s="36"/>
      <c r="B460" s="36"/>
      <c r="C460" s="2"/>
      <c r="D460" s="36"/>
      <c r="E460" s="36"/>
      <c r="F460" s="36"/>
      <c r="G460" s="2"/>
      <c r="H460" s="2"/>
      <c r="I460" s="2"/>
      <c r="J460" s="2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</row>
    <row r="461" ht="15.75" customHeight="1">
      <c r="A461" s="36"/>
      <c r="B461" s="36"/>
      <c r="C461" s="2"/>
      <c r="D461" s="36"/>
      <c r="E461" s="36"/>
      <c r="F461" s="36"/>
      <c r="G461" s="2"/>
      <c r="H461" s="2"/>
      <c r="I461" s="2"/>
      <c r="J461" s="2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</row>
    <row r="462" ht="15.75" customHeight="1">
      <c r="A462" s="36"/>
      <c r="B462" s="36"/>
      <c r="C462" s="2"/>
      <c r="D462" s="36"/>
      <c r="E462" s="36"/>
      <c r="F462" s="36"/>
      <c r="G462" s="2"/>
      <c r="H462" s="2"/>
      <c r="I462" s="2"/>
      <c r="J462" s="2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</row>
    <row r="463" ht="15.75" customHeight="1">
      <c r="A463" s="36"/>
      <c r="B463" s="36"/>
      <c r="C463" s="2"/>
      <c r="D463" s="36"/>
      <c r="E463" s="36"/>
      <c r="F463" s="36"/>
      <c r="G463" s="2"/>
      <c r="H463" s="2"/>
      <c r="I463" s="2"/>
      <c r="J463" s="2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</row>
    <row r="464" ht="15.75" customHeight="1">
      <c r="A464" s="36"/>
      <c r="B464" s="36"/>
      <c r="C464" s="2"/>
      <c r="D464" s="36"/>
      <c r="E464" s="36"/>
      <c r="F464" s="36"/>
      <c r="G464" s="2"/>
      <c r="H464" s="2"/>
      <c r="I464" s="2"/>
      <c r="J464" s="2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</row>
    <row r="465" ht="15.75" customHeight="1">
      <c r="A465" s="36"/>
      <c r="B465" s="36"/>
      <c r="C465" s="2"/>
      <c r="D465" s="36"/>
      <c r="E465" s="36"/>
      <c r="F465" s="36"/>
      <c r="G465" s="2"/>
      <c r="H465" s="2"/>
      <c r="I465" s="2"/>
      <c r="J465" s="2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 ht="15.75" customHeight="1">
      <c r="A466" s="36"/>
      <c r="B466" s="36"/>
      <c r="C466" s="2"/>
      <c r="D466" s="36"/>
      <c r="E466" s="36"/>
      <c r="F466" s="36"/>
      <c r="G466" s="2"/>
      <c r="H466" s="2"/>
      <c r="I466" s="2"/>
      <c r="J466" s="2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</row>
    <row r="467" ht="15.75" customHeight="1">
      <c r="A467" s="36"/>
      <c r="B467" s="36"/>
      <c r="C467" s="2"/>
      <c r="D467" s="36"/>
      <c r="E467" s="36"/>
      <c r="F467" s="36"/>
      <c r="G467" s="2"/>
      <c r="H467" s="2"/>
      <c r="I467" s="2"/>
      <c r="J467" s="2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</row>
    <row r="468" ht="15.75" customHeight="1">
      <c r="A468" s="36"/>
      <c r="B468" s="36"/>
      <c r="C468" s="2"/>
      <c r="D468" s="36"/>
      <c r="E468" s="36"/>
      <c r="F468" s="36"/>
      <c r="G468" s="2"/>
      <c r="H468" s="2"/>
      <c r="I468" s="2"/>
      <c r="J468" s="2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</row>
    <row r="469" ht="15.75" customHeight="1">
      <c r="A469" s="36"/>
      <c r="B469" s="36"/>
      <c r="C469" s="2"/>
      <c r="D469" s="36"/>
      <c r="E469" s="36"/>
      <c r="F469" s="36"/>
      <c r="G469" s="2"/>
      <c r="H469" s="2"/>
      <c r="I469" s="2"/>
      <c r="J469" s="2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</row>
    <row r="470" ht="15.75" customHeight="1">
      <c r="A470" s="36"/>
      <c r="B470" s="36"/>
      <c r="C470" s="2"/>
      <c r="D470" s="36"/>
      <c r="E470" s="36"/>
      <c r="F470" s="36"/>
      <c r="G470" s="2"/>
      <c r="H470" s="2"/>
      <c r="I470" s="2"/>
      <c r="J470" s="2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</row>
    <row r="471" ht="15.75" customHeight="1">
      <c r="A471" s="36"/>
      <c r="B471" s="36"/>
      <c r="C471" s="2"/>
      <c r="D471" s="36"/>
      <c r="E471" s="36"/>
      <c r="F471" s="36"/>
      <c r="G471" s="2"/>
      <c r="H471" s="2"/>
      <c r="I471" s="2"/>
      <c r="J471" s="2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</row>
    <row r="472" ht="15.75" customHeight="1">
      <c r="A472" s="36"/>
      <c r="B472" s="36"/>
      <c r="C472" s="2"/>
      <c r="D472" s="36"/>
      <c r="E472" s="36"/>
      <c r="F472" s="36"/>
      <c r="G472" s="2"/>
      <c r="H472" s="2"/>
      <c r="I472" s="2"/>
      <c r="J472" s="2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</row>
    <row r="473" ht="15.75" customHeight="1">
      <c r="A473" s="36"/>
      <c r="B473" s="36"/>
      <c r="C473" s="2"/>
      <c r="D473" s="36"/>
      <c r="E473" s="36"/>
      <c r="F473" s="36"/>
      <c r="G473" s="2"/>
      <c r="H473" s="2"/>
      <c r="I473" s="2"/>
      <c r="J473" s="2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</row>
    <row r="474" ht="15.75" customHeight="1">
      <c r="A474" s="36"/>
      <c r="B474" s="36"/>
      <c r="C474" s="2"/>
      <c r="D474" s="36"/>
      <c r="E474" s="36"/>
      <c r="F474" s="36"/>
      <c r="G474" s="2"/>
      <c r="H474" s="2"/>
      <c r="I474" s="2"/>
      <c r="J474" s="2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</row>
    <row r="475" ht="15.75" customHeight="1">
      <c r="A475" s="36"/>
      <c r="B475" s="36"/>
      <c r="C475" s="2"/>
      <c r="D475" s="36"/>
      <c r="E475" s="36"/>
      <c r="F475" s="36"/>
      <c r="G475" s="2"/>
      <c r="H475" s="2"/>
      <c r="I475" s="2"/>
      <c r="J475" s="2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</row>
    <row r="476" ht="15.75" customHeight="1">
      <c r="A476" s="36"/>
      <c r="B476" s="36"/>
      <c r="C476" s="2"/>
      <c r="D476" s="36"/>
      <c r="E476" s="36"/>
      <c r="F476" s="36"/>
      <c r="G476" s="2"/>
      <c r="H476" s="2"/>
      <c r="I476" s="2"/>
      <c r="J476" s="2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</row>
    <row r="477" ht="15.75" customHeight="1">
      <c r="A477" s="36"/>
      <c r="B477" s="36"/>
      <c r="C477" s="2"/>
      <c r="D477" s="36"/>
      <c r="E477" s="36"/>
      <c r="F477" s="36"/>
      <c r="G477" s="2"/>
      <c r="H477" s="2"/>
      <c r="I477" s="2"/>
      <c r="J477" s="2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</row>
    <row r="478" ht="15.75" customHeight="1">
      <c r="A478" s="36"/>
      <c r="B478" s="36"/>
      <c r="C478" s="2"/>
      <c r="D478" s="36"/>
      <c r="E478" s="36"/>
      <c r="F478" s="36"/>
      <c r="G478" s="2"/>
      <c r="H478" s="2"/>
      <c r="I478" s="2"/>
      <c r="J478" s="2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</row>
    <row r="479" ht="15.75" customHeight="1">
      <c r="A479" s="36"/>
      <c r="B479" s="36"/>
      <c r="C479" s="2"/>
      <c r="D479" s="36"/>
      <c r="E479" s="36"/>
      <c r="F479" s="36"/>
      <c r="G479" s="2"/>
      <c r="H479" s="2"/>
      <c r="I479" s="2"/>
      <c r="J479" s="2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</row>
    <row r="480" ht="15.75" customHeight="1">
      <c r="A480" s="36"/>
      <c r="B480" s="36"/>
      <c r="C480" s="2"/>
      <c r="D480" s="36"/>
      <c r="E480" s="36"/>
      <c r="F480" s="36"/>
      <c r="G480" s="2"/>
      <c r="H480" s="2"/>
      <c r="I480" s="2"/>
      <c r="J480" s="2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</row>
    <row r="481" ht="15.75" customHeight="1">
      <c r="A481" s="36"/>
      <c r="B481" s="36"/>
      <c r="C481" s="2"/>
      <c r="D481" s="36"/>
      <c r="E481" s="36"/>
      <c r="F481" s="36"/>
      <c r="G481" s="2"/>
      <c r="H481" s="2"/>
      <c r="I481" s="2"/>
      <c r="J481" s="2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</row>
    <row r="482" ht="15.75" customHeight="1">
      <c r="A482" s="36"/>
      <c r="B482" s="36"/>
      <c r="C482" s="2"/>
      <c r="D482" s="36"/>
      <c r="E482" s="36"/>
      <c r="F482" s="36"/>
      <c r="G482" s="2"/>
      <c r="H482" s="2"/>
      <c r="I482" s="2"/>
      <c r="J482" s="2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</row>
    <row r="483" ht="15.75" customHeight="1">
      <c r="A483" s="36"/>
      <c r="B483" s="36"/>
      <c r="C483" s="2"/>
      <c r="D483" s="36"/>
      <c r="E483" s="36"/>
      <c r="F483" s="36"/>
      <c r="G483" s="2"/>
      <c r="H483" s="2"/>
      <c r="I483" s="2"/>
      <c r="J483" s="2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</row>
    <row r="484" ht="15.75" customHeight="1">
      <c r="A484" s="36"/>
      <c r="B484" s="36"/>
      <c r="C484" s="2"/>
      <c r="D484" s="36"/>
      <c r="E484" s="36"/>
      <c r="F484" s="36"/>
      <c r="G484" s="2"/>
      <c r="H484" s="2"/>
      <c r="I484" s="2"/>
      <c r="J484" s="2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</row>
    <row r="485" ht="15.75" customHeight="1">
      <c r="A485" s="36"/>
      <c r="B485" s="36"/>
      <c r="C485" s="2"/>
      <c r="D485" s="36"/>
      <c r="E485" s="36"/>
      <c r="F485" s="36"/>
      <c r="G485" s="2"/>
      <c r="H485" s="2"/>
      <c r="I485" s="2"/>
      <c r="J485" s="2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</row>
    <row r="486" ht="15.75" customHeight="1">
      <c r="A486" s="36"/>
      <c r="B486" s="36"/>
      <c r="C486" s="2"/>
      <c r="D486" s="36"/>
      <c r="E486" s="36"/>
      <c r="F486" s="36"/>
      <c r="G486" s="2"/>
      <c r="H486" s="2"/>
      <c r="I486" s="2"/>
      <c r="J486" s="2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</row>
    <row r="487" ht="15.75" customHeight="1">
      <c r="A487" s="36"/>
      <c r="B487" s="36"/>
      <c r="C487" s="2"/>
      <c r="D487" s="36"/>
      <c r="E487" s="36"/>
      <c r="F487" s="36"/>
      <c r="G487" s="2"/>
      <c r="H487" s="2"/>
      <c r="I487" s="2"/>
      <c r="J487" s="2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</row>
    <row r="488" ht="15.75" customHeight="1">
      <c r="A488" s="36"/>
      <c r="B488" s="36"/>
      <c r="C488" s="2"/>
      <c r="D488" s="36"/>
      <c r="E488" s="36"/>
      <c r="F488" s="36"/>
      <c r="G488" s="2"/>
      <c r="H488" s="2"/>
      <c r="I488" s="2"/>
      <c r="J488" s="2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</row>
    <row r="489" ht="15.75" customHeight="1">
      <c r="A489" s="36"/>
      <c r="B489" s="36"/>
      <c r="C489" s="2"/>
      <c r="D489" s="36"/>
      <c r="E489" s="36"/>
      <c r="F489" s="36"/>
      <c r="G489" s="2"/>
      <c r="H489" s="2"/>
      <c r="I489" s="2"/>
      <c r="J489" s="2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</row>
    <row r="490" ht="15.75" customHeight="1">
      <c r="A490" s="36"/>
      <c r="B490" s="36"/>
      <c r="C490" s="2"/>
      <c r="D490" s="36"/>
      <c r="E490" s="36"/>
      <c r="F490" s="36"/>
      <c r="G490" s="2"/>
      <c r="H490" s="2"/>
      <c r="I490" s="2"/>
      <c r="J490" s="2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</row>
    <row r="491" ht="15.75" customHeight="1">
      <c r="A491" s="36"/>
      <c r="B491" s="36"/>
      <c r="C491" s="2"/>
      <c r="D491" s="36"/>
      <c r="E491" s="36"/>
      <c r="F491" s="36"/>
      <c r="G491" s="2"/>
      <c r="H491" s="2"/>
      <c r="I491" s="2"/>
      <c r="J491" s="2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</row>
    <row r="492" ht="15.75" customHeight="1">
      <c r="A492" s="36"/>
      <c r="B492" s="36"/>
      <c r="C492" s="2"/>
      <c r="D492" s="36"/>
      <c r="E492" s="36"/>
      <c r="F492" s="36"/>
      <c r="G492" s="2"/>
      <c r="H492" s="2"/>
      <c r="I492" s="2"/>
      <c r="J492" s="2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</row>
    <row r="493" ht="15.75" customHeight="1">
      <c r="A493" s="36"/>
      <c r="B493" s="36"/>
      <c r="C493" s="2"/>
      <c r="D493" s="36"/>
      <c r="E493" s="36"/>
      <c r="F493" s="36"/>
      <c r="G493" s="2"/>
      <c r="H493" s="2"/>
      <c r="I493" s="2"/>
      <c r="J493" s="2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</row>
    <row r="494" ht="15.75" customHeight="1">
      <c r="A494" s="36"/>
      <c r="B494" s="36"/>
      <c r="C494" s="2"/>
      <c r="D494" s="36"/>
      <c r="E494" s="36"/>
      <c r="F494" s="36"/>
      <c r="G494" s="2"/>
      <c r="H494" s="2"/>
      <c r="I494" s="2"/>
      <c r="J494" s="2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</row>
    <row r="495" ht="15.75" customHeight="1">
      <c r="A495" s="36"/>
      <c r="B495" s="36"/>
      <c r="C495" s="2"/>
      <c r="D495" s="36"/>
      <c r="E495" s="36"/>
      <c r="F495" s="36"/>
      <c r="G495" s="2"/>
      <c r="H495" s="2"/>
      <c r="I495" s="2"/>
      <c r="J495" s="2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</row>
    <row r="496" ht="15.75" customHeight="1">
      <c r="A496" s="36"/>
      <c r="B496" s="36"/>
      <c r="C496" s="2"/>
      <c r="D496" s="36"/>
      <c r="E496" s="36"/>
      <c r="F496" s="36"/>
      <c r="G496" s="2"/>
      <c r="H496" s="2"/>
      <c r="I496" s="2"/>
      <c r="J496" s="2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</row>
    <row r="497" ht="15.75" customHeight="1">
      <c r="A497" s="36"/>
      <c r="B497" s="36"/>
      <c r="C497" s="2"/>
      <c r="D497" s="36"/>
      <c r="E497" s="36"/>
      <c r="F497" s="36"/>
      <c r="G497" s="2"/>
      <c r="H497" s="2"/>
      <c r="I497" s="2"/>
      <c r="J497" s="2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</row>
    <row r="498" ht="15.75" customHeight="1">
      <c r="A498" s="36"/>
      <c r="B498" s="36"/>
      <c r="C498" s="2"/>
      <c r="D498" s="36"/>
      <c r="E498" s="36"/>
      <c r="F498" s="36"/>
      <c r="G498" s="2"/>
      <c r="H498" s="2"/>
      <c r="I498" s="2"/>
      <c r="J498" s="2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</row>
    <row r="499" ht="15.75" customHeight="1">
      <c r="A499" s="36"/>
      <c r="B499" s="36"/>
      <c r="C499" s="2"/>
      <c r="D499" s="36"/>
      <c r="E499" s="36"/>
      <c r="F499" s="36"/>
      <c r="G499" s="2"/>
      <c r="H499" s="2"/>
      <c r="I499" s="2"/>
      <c r="J499" s="2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</row>
    <row r="500" ht="15.75" customHeight="1">
      <c r="A500" s="36"/>
      <c r="B500" s="36"/>
      <c r="C500" s="2"/>
      <c r="D500" s="36"/>
      <c r="E500" s="36"/>
      <c r="F500" s="36"/>
      <c r="G500" s="2"/>
      <c r="H500" s="2"/>
      <c r="I500" s="2"/>
      <c r="J500" s="2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</row>
    <row r="501" ht="15.75" customHeight="1">
      <c r="A501" s="36"/>
      <c r="B501" s="36"/>
      <c r="C501" s="2"/>
      <c r="D501" s="36"/>
      <c r="E501" s="36"/>
      <c r="F501" s="36"/>
      <c r="G501" s="2"/>
      <c r="H501" s="2"/>
      <c r="I501" s="2"/>
      <c r="J501" s="2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</row>
    <row r="502" ht="15.75" customHeight="1">
      <c r="A502" s="36"/>
      <c r="B502" s="36"/>
      <c r="C502" s="2"/>
      <c r="D502" s="36"/>
      <c r="E502" s="36"/>
      <c r="F502" s="36"/>
      <c r="G502" s="2"/>
      <c r="H502" s="2"/>
      <c r="I502" s="2"/>
      <c r="J502" s="2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</row>
    <row r="503" ht="15.75" customHeight="1">
      <c r="A503" s="36"/>
      <c r="B503" s="36"/>
      <c r="C503" s="2"/>
      <c r="D503" s="36"/>
      <c r="E503" s="36"/>
      <c r="F503" s="36"/>
      <c r="G503" s="2"/>
      <c r="H503" s="2"/>
      <c r="I503" s="2"/>
      <c r="J503" s="2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</row>
    <row r="504" ht="15.75" customHeight="1">
      <c r="A504" s="36"/>
      <c r="B504" s="36"/>
      <c r="C504" s="2"/>
      <c r="D504" s="36"/>
      <c r="E504" s="36"/>
      <c r="F504" s="36"/>
      <c r="G504" s="2"/>
      <c r="H504" s="2"/>
      <c r="I504" s="2"/>
      <c r="J504" s="2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</row>
    <row r="505" ht="15.75" customHeight="1">
      <c r="A505" s="36"/>
      <c r="B505" s="36"/>
      <c r="C505" s="2"/>
      <c r="D505" s="36"/>
      <c r="E505" s="36"/>
      <c r="F505" s="36"/>
      <c r="G505" s="2"/>
      <c r="H505" s="2"/>
      <c r="I505" s="2"/>
      <c r="J505" s="2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</row>
    <row r="506" ht="15.75" customHeight="1">
      <c r="A506" s="36"/>
      <c r="B506" s="36"/>
      <c r="C506" s="2"/>
      <c r="D506" s="36"/>
      <c r="E506" s="36"/>
      <c r="F506" s="36"/>
      <c r="G506" s="2"/>
      <c r="H506" s="2"/>
      <c r="I506" s="2"/>
      <c r="J506" s="2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</row>
    <row r="507" ht="15.75" customHeight="1">
      <c r="A507" s="36"/>
      <c r="B507" s="36"/>
      <c r="C507" s="2"/>
      <c r="D507" s="36"/>
      <c r="E507" s="36"/>
      <c r="F507" s="36"/>
      <c r="G507" s="2"/>
      <c r="H507" s="2"/>
      <c r="I507" s="2"/>
      <c r="J507" s="2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</row>
    <row r="508" ht="15.75" customHeight="1">
      <c r="A508" s="36"/>
      <c r="B508" s="36"/>
      <c r="C508" s="2"/>
      <c r="D508" s="36"/>
      <c r="E508" s="36"/>
      <c r="F508" s="36"/>
      <c r="G508" s="2"/>
      <c r="H508" s="2"/>
      <c r="I508" s="2"/>
      <c r="J508" s="2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</row>
    <row r="509" ht="15.75" customHeight="1">
      <c r="A509" s="36"/>
      <c r="B509" s="36"/>
      <c r="C509" s="2"/>
      <c r="D509" s="36"/>
      <c r="E509" s="36"/>
      <c r="F509" s="36"/>
      <c r="G509" s="2"/>
      <c r="H509" s="2"/>
      <c r="I509" s="2"/>
      <c r="J509" s="2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</row>
    <row r="510" ht="15.75" customHeight="1">
      <c r="A510" s="36"/>
      <c r="B510" s="36"/>
      <c r="C510" s="2"/>
      <c r="D510" s="36"/>
      <c r="E510" s="36"/>
      <c r="F510" s="36"/>
      <c r="G510" s="2"/>
      <c r="H510" s="2"/>
      <c r="I510" s="2"/>
      <c r="J510" s="2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</row>
    <row r="511" ht="15.75" customHeight="1">
      <c r="A511" s="36"/>
      <c r="B511" s="36"/>
      <c r="C511" s="2"/>
      <c r="D511" s="36"/>
      <c r="E511" s="36"/>
      <c r="F511" s="36"/>
      <c r="G511" s="2"/>
      <c r="H511" s="2"/>
      <c r="I511" s="2"/>
      <c r="J511" s="2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</row>
    <row r="512" ht="15.75" customHeight="1">
      <c r="A512" s="36"/>
      <c r="B512" s="36"/>
      <c r="C512" s="2"/>
      <c r="D512" s="36"/>
      <c r="E512" s="36"/>
      <c r="F512" s="36"/>
      <c r="G512" s="2"/>
      <c r="H512" s="2"/>
      <c r="I512" s="2"/>
      <c r="J512" s="2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</row>
    <row r="513" ht="15.75" customHeight="1">
      <c r="A513" s="36"/>
      <c r="B513" s="36"/>
      <c r="C513" s="2"/>
      <c r="D513" s="36"/>
      <c r="E513" s="36"/>
      <c r="F513" s="36"/>
      <c r="G513" s="2"/>
      <c r="H513" s="2"/>
      <c r="I513" s="2"/>
      <c r="J513" s="2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</row>
    <row r="514" ht="15.75" customHeight="1">
      <c r="A514" s="36"/>
      <c r="B514" s="36"/>
      <c r="C514" s="2"/>
      <c r="D514" s="36"/>
      <c r="E514" s="36"/>
      <c r="F514" s="36"/>
      <c r="G514" s="2"/>
      <c r="H514" s="2"/>
      <c r="I514" s="2"/>
      <c r="J514" s="2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</row>
    <row r="515" ht="15.75" customHeight="1">
      <c r="A515" s="36"/>
      <c r="B515" s="36"/>
      <c r="C515" s="2"/>
      <c r="D515" s="36"/>
      <c r="E515" s="36"/>
      <c r="F515" s="36"/>
      <c r="G515" s="2"/>
      <c r="H515" s="2"/>
      <c r="I515" s="2"/>
      <c r="J515" s="2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</row>
    <row r="516" ht="15.75" customHeight="1">
      <c r="A516" s="36"/>
      <c r="B516" s="36"/>
      <c r="C516" s="2"/>
      <c r="D516" s="36"/>
      <c r="E516" s="36"/>
      <c r="F516" s="36"/>
      <c r="G516" s="2"/>
      <c r="H516" s="2"/>
      <c r="I516" s="2"/>
      <c r="J516" s="2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</row>
    <row r="517" ht="15.75" customHeight="1">
      <c r="A517" s="36"/>
      <c r="B517" s="36"/>
      <c r="C517" s="2"/>
      <c r="D517" s="36"/>
      <c r="E517" s="36"/>
      <c r="F517" s="36"/>
      <c r="G517" s="2"/>
      <c r="H517" s="2"/>
      <c r="I517" s="2"/>
      <c r="J517" s="2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</row>
    <row r="518" ht="15.75" customHeight="1">
      <c r="A518" s="36"/>
      <c r="B518" s="36"/>
      <c r="C518" s="2"/>
      <c r="D518" s="36"/>
      <c r="E518" s="36"/>
      <c r="F518" s="36"/>
      <c r="G518" s="2"/>
      <c r="H518" s="2"/>
      <c r="I518" s="2"/>
      <c r="J518" s="2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</row>
    <row r="519" ht="15.75" customHeight="1">
      <c r="A519" s="36"/>
      <c r="B519" s="36"/>
      <c r="C519" s="2"/>
      <c r="D519" s="36"/>
      <c r="E519" s="36"/>
      <c r="F519" s="36"/>
      <c r="G519" s="2"/>
      <c r="H519" s="2"/>
      <c r="I519" s="2"/>
      <c r="J519" s="2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</row>
    <row r="520" ht="15.75" customHeight="1">
      <c r="A520" s="36"/>
      <c r="B520" s="36"/>
      <c r="C520" s="2"/>
      <c r="D520" s="36"/>
      <c r="E520" s="36"/>
      <c r="F520" s="36"/>
      <c r="G520" s="2"/>
      <c r="H520" s="2"/>
      <c r="I520" s="2"/>
      <c r="J520" s="2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</row>
    <row r="521" ht="15.75" customHeight="1">
      <c r="A521" s="36"/>
      <c r="B521" s="36"/>
      <c r="C521" s="2"/>
      <c r="D521" s="36"/>
      <c r="E521" s="36"/>
      <c r="F521" s="36"/>
      <c r="G521" s="2"/>
      <c r="H521" s="2"/>
      <c r="I521" s="2"/>
      <c r="J521" s="2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</row>
    <row r="522" ht="15.75" customHeight="1">
      <c r="A522" s="36"/>
      <c r="B522" s="36"/>
      <c r="C522" s="2"/>
      <c r="D522" s="36"/>
      <c r="E522" s="36"/>
      <c r="F522" s="36"/>
      <c r="G522" s="2"/>
      <c r="H522" s="2"/>
      <c r="I522" s="2"/>
      <c r="J522" s="2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</row>
    <row r="523" ht="15.75" customHeight="1">
      <c r="A523" s="36"/>
      <c r="B523" s="36"/>
      <c r="C523" s="2"/>
      <c r="D523" s="36"/>
      <c r="E523" s="36"/>
      <c r="F523" s="36"/>
      <c r="G523" s="2"/>
      <c r="H523" s="2"/>
      <c r="I523" s="2"/>
      <c r="J523" s="2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</row>
    <row r="524" ht="15.75" customHeight="1">
      <c r="A524" s="36"/>
      <c r="B524" s="36"/>
      <c r="C524" s="2"/>
      <c r="D524" s="36"/>
      <c r="E524" s="36"/>
      <c r="F524" s="36"/>
      <c r="G524" s="2"/>
      <c r="H524" s="2"/>
      <c r="I524" s="2"/>
      <c r="J524" s="2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</row>
    <row r="525" ht="15.75" customHeight="1">
      <c r="A525" s="36"/>
      <c r="B525" s="36"/>
      <c r="C525" s="2"/>
      <c r="D525" s="36"/>
      <c r="E525" s="36"/>
      <c r="F525" s="36"/>
      <c r="G525" s="2"/>
      <c r="H525" s="2"/>
      <c r="I525" s="2"/>
      <c r="J525" s="2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</row>
    <row r="526" ht="15.75" customHeight="1">
      <c r="A526" s="36"/>
      <c r="B526" s="36"/>
      <c r="C526" s="2"/>
      <c r="D526" s="36"/>
      <c r="E526" s="36"/>
      <c r="F526" s="36"/>
      <c r="G526" s="2"/>
      <c r="H526" s="2"/>
      <c r="I526" s="2"/>
      <c r="J526" s="2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</row>
    <row r="527" ht="15.75" customHeight="1">
      <c r="A527" s="36"/>
      <c r="B527" s="36"/>
      <c r="C527" s="2"/>
      <c r="D527" s="36"/>
      <c r="E527" s="36"/>
      <c r="F527" s="36"/>
      <c r="G527" s="2"/>
      <c r="H527" s="2"/>
      <c r="I527" s="2"/>
      <c r="J527" s="2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</row>
    <row r="528" ht="15.75" customHeight="1">
      <c r="A528" s="36"/>
      <c r="B528" s="36"/>
      <c r="C528" s="2"/>
      <c r="D528" s="36"/>
      <c r="E528" s="36"/>
      <c r="F528" s="36"/>
      <c r="G528" s="2"/>
      <c r="H528" s="2"/>
      <c r="I528" s="2"/>
      <c r="J528" s="2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</row>
    <row r="529" ht="15.75" customHeight="1">
      <c r="A529" s="36"/>
      <c r="B529" s="36"/>
      <c r="C529" s="2"/>
      <c r="D529" s="36"/>
      <c r="E529" s="36"/>
      <c r="F529" s="36"/>
      <c r="G529" s="2"/>
      <c r="H529" s="2"/>
      <c r="I529" s="2"/>
      <c r="J529" s="2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</row>
    <row r="530" ht="15.75" customHeight="1">
      <c r="A530" s="36"/>
      <c r="B530" s="36"/>
      <c r="C530" s="2"/>
      <c r="D530" s="36"/>
      <c r="E530" s="36"/>
      <c r="F530" s="36"/>
      <c r="G530" s="2"/>
      <c r="H530" s="2"/>
      <c r="I530" s="2"/>
      <c r="J530" s="2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</row>
    <row r="531" ht="15.75" customHeight="1">
      <c r="A531" s="36"/>
      <c r="B531" s="36"/>
      <c r="C531" s="2"/>
      <c r="D531" s="36"/>
      <c r="E531" s="36"/>
      <c r="F531" s="36"/>
      <c r="G531" s="2"/>
      <c r="H531" s="2"/>
      <c r="I531" s="2"/>
      <c r="J531" s="2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</row>
    <row r="532" ht="15.75" customHeight="1">
      <c r="A532" s="36"/>
      <c r="B532" s="36"/>
      <c r="C532" s="2"/>
      <c r="D532" s="36"/>
      <c r="E532" s="36"/>
      <c r="F532" s="36"/>
      <c r="G532" s="2"/>
      <c r="H532" s="2"/>
      <c r="I532" s="2"/>
      <c r="J532" s="2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</row>
    <row r="533" ht="15.75" customHeight="1">
      <c r="A533" s="36"/>
      <c r="B533" s="36"/>
      <c r="C533" s="2"/>
      <c r="D533" s="36"/>
      <c r="E533" s="36"/>
      <c r="F533" s="36"/>
      <c r="G533" s="2"/>
      <c r="H533" s="2"/>
      <c r="I533" s="2"/>
      <c r="J533" s="2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</row>
    <row r="534" ht="15.75" customHeight="1">
      <c r="A534" s="36"/>
      <c r="B534" s="36"/>
      <c r="C534" s="2"/>
      <c r="D534" s="36"/>
      <c r="E534" s="36"/>
      <c r="F534" s="36"/>
      <c r="G534" s="2"/>
      <c r="H534" s="2"/>
      <c r="I534" s="2"/>
      <c r="J534" s="2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</row>
    <row r="535" ht="15.75" customHeight="1">
      <c r="A535" s="36"/>
      <c r="B535" s="36"/>
      <c r="C535" s="2"/>
      <c r="D535" s="36"/>
      <c r="E535" s="36"/>
      <c r="F535" s="36"/>
      <c r="G535" s="2"/>
      <c r="H535" s="2"/>
      <c r="I535" s="2"/>
      <c r="J535" s="2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</row>
    <row r="536" ht="15.75" customHeight="1">
      <c r="A536" s="36"/>
      <c r="B536" s="36"/>
      <c r="C536" s="2"/>
      <c r="D536" s="36"/>
      <c r="E536" s="36"/>
      <c r="F536" s="36"/>
      <c r="G536" s="2"/>
      <c r="H536" s="2"/>
      <c r="I536" s="2"/>
      <c r="J536" s="2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</row>
    <row r="537" ht="15.75" customHeight="1">
      <c r="A537" s="36"/>
      <c r="B537" s="36"/>
      <c r="C537" s="2"/>
      <c r="D537" s="36"/>
      <c r="E537" s="36"/>
      <c r="F537" s="36"/>
      <c r="G537" s="2"/>
      <c r="H537" s="2"/>
      <c r="I537" s="2"/>
      <c r="J537" s="2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</row>
    <row r="538" ht="15.75" customHeight="1">
      <c r="A538" s="36"/>
      <c r="B538" s="36"/>
      <c r="C538" s="2"/>
      <c r="D538" s="36"/>
      <c r="E538" s="36"/>
      <c r="F538" s="36"/>
      <c r="G538" s="2"/>
      <c r="H538" s="2"/>
      <c r="I538" s="2"/>
      <c r="J538" s="2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</row>
    <row r="539" ht="15.75" customHeight="1">
      <c r="A539" s="36"/>
      <c r="B539" s="36"/>
      <c r="C539" s="2"/>
      <c r="D539" s="36"/>
      <c r="E539" s="36"/>
      <c r="F539" s="36"/>
      <c r="G539" s="2"/>
      <c r="H539" s="2"/>
      <c r="I539" s="2"/>
      <c r="J539" s="2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</row>
    <row r="540" ht="15.75" customHeight="1">
      <c r="A540" s="36"/>
      <c r="B540" s="36"/>
      <c r="C540" s="2"/>
      <c r="D540" s="36"/>
      <c r="E540" s="36"/>
      <c r="F540" s="36"/>
      <c r="G540" s="2"/>
      <c r="H540" s="2"/>
      <c r="I540" s="2"/>
      <c r="J540" s="2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</row>
    <row r="541" ht="15.75" customHeight="1">
      <c r="A541" s="36"/>
      <c r="B541" s="36"/>
      <c r="C541" s="2"/>
      <c r="D541" s="36"/>
      <c r="E541" s="36"/>
      <c r="F541" s="36"/>
      <c r="G541" s="2"/>
      <c r="H541" s="2"/>
      <c r="I541" s="2"/>
      <c r="J541" s="2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</row>
    <row r="542" ht="15.75" customHeight="1">
      <c r="A542" s="36"/>
      <c r="B542" s="36"/>
      <c r="C542" s="2"/>
      <c r="D542" s="36"/>
      <c r="E542" s="36"/>
      <c r="F542" s="36"/>
      <c r="G542" s="2"/>
      <c r="H542" s="2"/>
      <c r="I542" s="2"/>
      <c r="J542" s="2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</row>
    <row r="543" ht="15.75" customHeight="1">
      <c r="A543" s="36"/>
      <c r="B543" s="36"/>
      <c r="C543" s="2"/>
      <c r="D543" s="36"/>
      <c r="E543" s="36"/>
      <c r="F543" s="36"/>
      <c r="G543" s="2"/>
      <c r="H543" s="2"/>
      <c r="I543" s="2"/>
      <c r="J543" s="2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</row>
    <row r="544" ht="15.75" customHeight="1">
      <c r="A544" s="36"/>
      <c r="B544" s="36"/>
      <c r="C544" s="2"/>
      <c r="D544" s="36"/>
      <c r="E544" s="36"/>
      <c r="F544" s="36"/>
      <c r="G544" s="2"/>
      <c r="H544" s="2"/>
      <c r="I544" s="2"/>
      <c r="J544" s="2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</row>
    <row r="545" ht="15.75" customHeight="1">
      <c r="A545" s="36"/>
      <c r="B545" s="36"/>
      <c r="C545" s="2"/>
      <c r="D545" s="36"/>
      <c r="E545" s="36"/>
      <c r="F545" s="36"/>
      <c r="G545" s="2"/>
      <c r="H545" s="2"/>
      <c r="I545" s="2"/>
      <c r="J545" s="2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</row>
    <row r="546" ht="15.75" customHeight="1">
      <c r="A546" s="36"/>
      <c r="B546" s="36"/>
      <c r="C546" s="2"/>
      <c r="D546" s="36"/>
      <c r="E546" s="36"/>
      <c r="F546" s="36"/>
      <c r="G546" s="2"/>
      <c r="H546" s="2"/>
      <c r="I546" s="2"/>
      <c r="J546" s="2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</row>
    <row r="547" ht="15.75" customHeight="1">
      <c r="A547" s="36"/>
      <c r="B547" s="36"/>
      <c r="C547" s="2"/>
      <c r="D547" s="36"/>
      <c r="E547" s="36"/>
      <c r="F547" s="36"/>
      <c r="G547" s="2"/>
      <c r="H547" s="2"/>
      <c r="I547" s="2"/>
      <c r="J547" s="2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</row>
    <row r="548" ht="15.75" customHeight="1">
      <c r="A548" s="36"/>
      <c r="B548" s="36"/>
      <c r="C548" s="2"/>
      <c r="D548" s="36"/>
      <c r="E548" s="36"/>
      <c r="F548" s="36"/>
      <c r="G548" s="2"/>
      <c r="H548" s="2"/>
      <c r="I548" s="2"/>
      <c r="J548" s="2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</row>
    <row r="549" ht="15.75" customHeight="1">
      <c r="A549" s="36"/>
      <c r="B549" s="36"/>
      <c r="C549" s="2"/>
      <c r="D549" s="36"/>
      <c r="E549" s="36"/>
      <c r="F549" s="36"/>
      <c r="G549" s="2"/>
      <c r="H549" s="2"/>
      <c r="I549" s="2"/>
      <c r="J549" s="2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</row>
    <row r="550" ht="15.75" customHeight="1">
      <c r="A550" s="36"/>
      <c r="B550" s="36"/>
      <c r="C550" s="2"/>
      <c r="D550" s="36"/>
      <c r="E550" s="36"/>
      <c r="F550" s="36"/>
      <c r="G550" s="2"/>
      <c r="H550" s="2"/>
      <c r="I550" s="2"/>
      <c r="J550" s="2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</row>
    <row r="551" ht="15.75" customHeight="1">
      <c r="A551" s="36"/>
      <c r="B551" s="36"/>
      <c r="C551" s="2"/>
      <c r="D551" s="36"/>
      <c r="E551" s="36"/>
      <c r="F551" s="36"/>
      <c r="G551" s="2"/>
      <c r="H551" s="2"/>
      <c r="I551" s="2"/>
      <c r="J551" s="2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</row>
    <row r="552" ht="15.75" customHeight="1">
      <c r="A552" s="36"/>
      <c r="B552" s="36"/>
      <c r="C552" s="2"/>
      <c r="D552" s="36"/>
      <c r="E552" s="36"/>
      <c r="F552" s="36"/>
      <c r="G552" s="2"/>
      <c r="H552" s="2"/>
      <c r="I552" s="2"/>
      <c r="J552" s="2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</row>
    <row r="553" ht="15.75" customHeight="1">
      <c r="A553" s="36"/>
      <c r="B553" s="36"/>
      <c r="C553" s="2"/>
      <c r="D553" s="36"/>
      <c r="E553" s="36"/>
      <c r="F553" s="36"/>
      <c r="G553" s="2"/>
      <c r="H553" s="2"/>
      <c r="I553" s="2"/>
      <c r="J553" s="2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</row>
    <row r="554" ht="15.75" customHeight="1">
      <c r="A554" s="36"/>
      <c r="B554" s="36"/>
      <c r="C554" s="2"/>
      <c r="D554" s="36"/>
      <c r="E554" s="36"/>
      <c r="F554" s="36"/>
      <c r="G554" s="2"/>
      <c r="H554" s="2"/>
      <c r="I554" s="2"/>
      <c r="J554" s="2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</row>
    <row r="555" ht="15.75" customHeight="1">
      <c r="A555" s="36"/>
      <c r="B555" s="36"/>
      <c r="C555" s="2"/>
      <c r="D555" s="36"/>
      <c r="E555" s="36"/>
      <c r="F555" s="36"/>
      <c r="G555" s="2"/>
      <c r="H555" s="2"/>
      <c r="I555" s="2"/>
      <c r="J555" s="2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</row>
    <row r="556" ht="15.75" customHeight="1">
      <c r="A556" s="36"/>
      <c r="B556" s="36"/>
      <c r="C556" s="2"/>
      <c r="D556" s="36"/>
      <c r="E556" s="36"/>
      <c r="F556" s="36"/>
      <c r="G556" s="2"/>
      <c r="H556" s="2"/>
      <c r="I556" s="2"/>
      <c r="J556" s="2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</row>
    <row r="557" ht="15.75" customHeight="1">
      <c r="A557" s="36"/>
      <c r="B557" s="36"/>
      <c r="C557" s="2"/>
      <c r="D557" s="36"/>
      <c r="E557" s="36"/>
      <c r="F557" s="36"/>
      <c r="G557" s="2"/>
      <c r="H557" s="2"/>
      <c r="I557" s="2"/>
      <c r="J557" s="2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</row>
    <row r="558" ht="15.75" customHeight="1">
      <c r="A558" s="36"/>
      <c r="B558" s="36"/>
      <c r="C558" s="2"/>
      <c r="D558" s="36"/>
      <c r="E558" s="36"/>
      <c r="F558" s="36"/>
      <c r="G558" s="2"/>
      <c r="H558" s="2"/>
      <c r="I558" s="2"/>
      <c r="J558" s="2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</row>
    <row r="559" ht="15.75" customHeight="1">
      <c r="A559" s="36"/>
      <c r="B559" s="36"/>
      <c r="C559" s="2"/>
      <c r="D559" s="36"/>
      <c r="E559" s="36"/>
      <c r="F559" s="36"/>
      <c r="G559" s="2"/>
      <c r="H559" s="2"/>
      <c r="I559" s="2"/>
      <c r="J559" s="2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</row>
    <row r="560" ht="15.75" customHeight="1">
      <c r="A560" s="36"/>
      <c r="B560" s="36"/>
      <c r="C560" s="2"/>
      <c r="D560" s="36"/>
      <c r="E560" s="36"/>
      <c r="F560" s="36"/>
      <c r="G560" s="2"/>
      <c r="H560" s="2"/>
      <c r="I560" s="2"/>
      <c r="J560" s="2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</row>
    <row r="561" ht="15.75" customHeight="1">
      <c r="A561" s="36"/>
      <c r="B561" s="36"/>
      <c r="C561" s="2"/>
      <c r="D561" s="36"/>
      <c r="E561" s="36"/>
      <c r="F561" s="36"/>
      <c r="G561" s="2"/>
      <c r="H561" s="2"/>
      <c r="I561" s="2"/>
      <c r="J561" s="2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</row>
    <row r="562" ht="15.75" customHeight="1">
      <c r="A562" s="36"/>
      <c r="B562" s="36"/>
      <c r="C562" s="2"/>
      <c r="D562" s="36"/>
      <c r="E562" s="36"/>
      <c r="F562" s="36"/>
      <c r="G562" s="2"/>
      <c r="H562" s="2"/>
      <c r="I562" s="2"/>
      <c r="J562" s="2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</row>
    <row r="563" ht="15.75" customHeight="1">
      <c r="A563" s="36"/>
      <c r="B563" s="36"/>
      <c r="C563" s="2"/>
      <c r="D563" s="36"/>
      <c r="E563" s="36"/>
      <c r="F563" s="36"/>
      <c r="G563" s="2"/>
      <c r="H563" s="2"/>
      <c r="I563" s="2"/>
      <c r="J563" s="2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</row>
    <row r="564" ht="15.75" customHeight="1">
      <c r="A564" s="36"/>
      <c r="B564" s="36"/>
      <c r="C564" s="2"/>
      <c r="D564" s="36"/>
      <c r="E564" s="36"/>
      <c r="F564" s="36"/>
      <c r="G564" s="2"/>
      <c r="H564" s="2"/>
      <c r="I564" s="2"/>
      <c r="J564" s="2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</row>
    <row r="565" ht="15.75" customHeight="1">
      <c r="A565" s="36"/>
      <c r="B565" s="36"/>
      <c r="C565" s="2"/>
      <c r="D565" s="36"/>
      <c r="E565" s="36"/>
      <c r="F565" s="36"/>
      <c r="G565" s="2"/>
      <c r="H565" s="2"/>
      <c r="I565" s="2"/>
      <c r="J565" s="2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</row>
    <row r="566" ht="15.75" customHeight="1">
      <c r="A566" s="36"/>
      <c r="B566" s="36"/>
      <c r="C566" s="2"/>
      <c r="D566" s="36"/>
      <c r="E566" s="36"/>
      <c r="F566" s="36"/>
      <c r="G566" s="2"/>
      <c r="H566" s="2"/>
      <c r="I566" s="2"/>
      <c r="J566" s="2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</row>
    <row r="567" ht="15.75" customHeight="1">
      <c r="A567" s="36"/>
      <c r="B567" s="36"/>
      <c r="C567" s="2"/>
      <c r="D567" s="36"/>
      <c r="E567" s="36"/>
      <c r="F567" s="36"/>
      <c r="G567" s="2"/>
      <c r="H567" s="2"/>
      <c r="I567" s="2"/>
      <c r="J567" s="2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</row>
    <row r="568" ht="15.75" customHeight="1">
      <c r="A568" s="36"/>
      <c r="B568" s="36"/>
      <c r="C568" s="2"/>
      <c r="D568" s="36"/>
      <c r="E568" s="36"/>
      <c r="F568" s="36"/>
      <c r="G568" s="2"/>
      <c r="H568" s="2"/>
      <c r="I568" s="2"/>
      <c r="J568" s="2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</row>
    <row r="569" ht="15.75" customHeight="1">
      <c r="A569" s="36"/>
      <c r="B569" s="36"/>
      <c r="C569" s="2"/>
      <c r="D569" s="36"/>
      <c r="E569" s="36"/>
      <c r="F569" s="36"/>
      <c r="G569" s="2"/>
      <c r="H569" s="2"/>
      <c r="I569" s="2"/>
      <c r="J569" s="2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</row>
    <row r="570" ht="15.75" customHeight="1">
      <c r="A570" s="36"/>
      <c r="B570" s="36"/>
      <c r="C570" s="2"/>
      <c r="D570" s="36"/>
      <c r="E570" s="36"/>
      <c r="F570" s="36"/>
      <c r="G570" s="2"/>
      <c r="H570" s="2"/>
      <c r="I570" s="2"/>
      <c r="J570" s="2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</row>
    <row r="571" ht="15.75" customHeight="1">
      <c r="A571" s="36"/>
      <c r="B571" s="36"/>
      <c r="C571" s="2"/>
      <c r="D571" s="36"/>
      <c r="E571" s="36"/>
      <c r="F571" s="36"/>
      <c r="G571" s="2"/>
      <c r="H571" s="2"/>
      <c r="I571" s="2"/>
      <c r="J571" s="2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</row>
    <row r="572" ht="15.75" customHeight="1">
      <c r="A572" s="36"/>
      <c r="B572" s="36"/>
      <c r="C572" s="2"/>
      <c r="D572" s="36"/>
      <c r="E572" s="36"/>
      <c r="F572" s="36"/>
      <c r="G572" s="2"/>
      <c r="H572" s="2"/>
      <c r="I572" s="2"/>
      <c r="J572" s="2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</row>
    <row r="573" ht="15.75" customHeight="1">
      <c r="A573" s="36"/>
      <c r="B573" s="36"/>
      <c r="C573" s="2"/>
      <c r="D573" s="36"/>
      <c r="E573" s="36"/>
      <c r="F573" s="36"/>
      <c r="G573" s="2"/>
      <c r="H573" s="2"/>
      <c r="I573" s="2"/>
      <c r="J573" s="2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</row>
    <row r="574" ht="15.75" customHeight="1">
      <c r="A574" s="36"/>
      <c r="B574" s="36"/>
      <c r="C574" s="2"/>
      <c r="D574" s="36"/>
      <c r="E574" s="36"/>
      <c r="F574" s="36"/>
      <c r="G574" s="2"/>
      <c r="H574" s="2"/>
      <c r="I574" s="2"/>
      <c r="J574" s="2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</row>
    <row r="575" ht="15.75" customHeight="1">
      <c r="A575" s="36"/>
      <c r="B575" s="36"/>
      <c r="C575" s="2"/>
      <c r="D575" s="36"/>
      <c r="E575" s="36"/>
      <c r="F575" s="36"/>
      <c r="G575" s="2"/>
      <c r="H575" s="2"/>
      <c r="I575" s="2"/>
      <c r="J575" s="2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</row>
    <row r="576" ht="15.75" customHeight="1">
      <c r="A576" s="36"/>
      <c r="B576" s="36"/>
      <c r="C576" s="2"/>
      <c r="D576" s="36"/>
      <c r="E576" s="36"/>
      <c r="F576" s="36"/>
      <c r="G576" s="2"/>
      <c r="H576" s="2"/>
      <c r="I576" s="2"/>
      <c r="J576" s="2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</row>
    <row r="577" ht="15.75" customHeight="1">
      <c r="A577" s="36"/>
      <c r="B577" s="36"/>
      <c r="C577" s="2"/>
      <c r="D577" s="36"/>
      <c r="E577" s="36"/>
      <c r="F577" s="36"/>
      <c r="G577" s="2"/>
      <c r="H577" s="2"/>
      <c r="I577" s="2"/>
      <c r="J577" s="2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</row>
    <row r="578" ht="15.75" customHeight="1">
      <c r="A578" s="36"/>
      <c r="B578" s="36"/>
      <c r="C578" s="2"/>
      <c r="D578" s="36"/>
      <c r="E578" s="36"/>
      <c r="F578" s="36"/>
      <c r="G578" s="2"/>
      <c r="H578" s="2"/>
      <c r="I578" s="2"/>
      <c r="J578" s="2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</row>
    <row r="579" ht="15.75" customHeight="1">
      <c r="A579" s="36"/>
      <c r="B579" s="36"/>
      <c r="C579" s="2"/>
      <c r="D579" s="36"/>
      <c r="E579" s="36"/>
      <c r="F579" s="36"/>
      <c r="G579" s="2"/>
      <c r="H579" s="2"/>
      <c r="I579" s="2"/>
      <c r="J579" s="2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</row>
    <row r="580" ht="15.75" customHeight="1">
      <c r="A580" s="36"/>
      <c r="B580" s="36"/>
      <c r="C580" s="2"/>
      <c r="D580" s="36"/>
      <c r="E580" s="36"/>
      <c r="F580" s="36"/>
      <c r="G580" s="2"/>
      <c r="H580" s="2"/>
      <c r="I580" s="2"/>
      <c r="J580" s="2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</row>
    <row r="581" ht="15.75" customHeight="1">
      <c r="A581" s="36"/>
      <c r="B581" s="36"/>
      <c r="C581" s="2"/>
      <c r="D581" s="36"/>
      <c r="E581" s="36"/>
      <c r="F581" s="36"/>
      <c r="G581" s="2"/>
      <c r="H581" s="2"/>
      <c r="I581" s="2"/>
      <c r="J581" s="2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</row>
    <row r="582" ht="15.75" customHeight="1">
      <c r="A582" s="36"/>
      <c r="B582" s="36"/>
      <c r="C582" s="2"/>
      <c r="D582" s="36"/>
      <c r="E582" s="36"/>
      <c r="F582" s="36"/>
      <c r="G582" s="2"/>
      <c r="H582" s="2"/>
      <c r="I582" s="2"/>
      <c r="J582" s="2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</row>
    <row r="583" ht="15.75" customHeight="1">
      <c r="A583" s="36"/>
      <c r="B583" s="36"/>
      <c r="C583" s="2"/>
      <c r="D583" s="36"/>
      <c r="E583" s="36"/>
      <c r="F583" s="36"/>
      <c r="G583" s="2"/>
      <c r="H583" s="2"/>
      <c r="I583" s="2"/>
      <c r="J583" s="2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</row>
    <row r="584" ht="15.75" customHeight="1">
      <c r="A584" s="36"/>
      <c r="B584" s="36"/>
      <c r="C584" s="2"/>
      <c r="D584" s="36"/>
      <c r="E584" s="36"/>
      <c r="F584" s="36"/>
      <c r="G584" s="2"/>
      <c r="H584" s="2"/>
      <c r="I584" s="2"/>
      <c r="J584" s="2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</row>
    <row r="585" ht="15.75" customHeight="1">
      <c r="A585" s="36"/>
      <c r="B585" s="36"/>
      <c r="C585" s="2"/>
      <c r="D585" s="36"/>
      <c r="E585" s="36"/>
      <c r="F585" s="36"/>
      <c r="G585" s="2"/>
      <c r="H585" s="2"/>
      <c r="I585" s="2"/>
      <c r="J585" s="2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</row>
    <row r="586" ht="15.75" customHeight="1">
      <c r="A586" s="36"/>
      <c r="B586" s="36"/>
      <c r="C586" s="2"/>
      <c r="D586" s="36"/>
      <c r="E586" s="36"/>
      <c r="F586" s="36"/>
      <c r="G586" s="2"/>
      <c r="H586" s="2"/>
      <c r="I586" s="2"/>
      <c r="J586" s="2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</row>
    <row r="587" ht="15.75" customHeight="1">
      <c r="A587" s="36"/>
      <c r="B587" s="36"/>
      <c r="C587" s="2"/>
      <c r="D587" s="36"/>
      <c r="E587" s="36"/>
      <c r="F587" s="36"/>
      <c r="G587" s="2"/>
      <c r="H587" s="2"/>
      <c r="I587" s="2"/>
      <c r="J587" s="2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</row>
    <row r="588" ht="15.75" customHeight="1">
      <c r="A588" s="36"/>
      <c r="B588" s="36"/>
      <c r="C588" s="2"/>
      <c r="D588" s="36"/>
      <c r="E588" s="36"/>
      <c r="F588" s="36"/>
      <c r="G588" s="2"/>
      <c r="H588" s="2"/>
      <c r="I588" s="2"/>
      <c r="J588" s="2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</row>
    <row r="589" ht="15.75" customHeight="1">
      <c r="A589" s="36"/>
      <c r="B589" s="36"/>
      <c r="C589" s="2"/>
      <c r="D589" s="36"/>
      <c r="E589" s="36"/>
      <c r="F589" s="36"/>
      <c r="G589" s="2"/>
      <c r="H589" s="2"/>
      <c r="I589" s="2"/>
      <c r="J589" s="2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</row>
    <row r="590" ht="15.75" customHeight="1">
      <c r="A590" s="36"/>
      <c r="B590" s="36"/>
      <c r="C590" s="2"/>
      <c r="D590" s="36"/>
      <c r="E590" s="36"/>
      <c r="F590" s="36"/>
      <c r="G590" s="2"/>
      <c r="H590" s="2"/>
      <c r="I590" s="2"/>
      <c r="J590" s="2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</row>
    <row r="591" ht="15.75" customHeight="1">
      <c r="A591" s="36"/>
      <c r="B591" s="36"/>
      <c r="C591" s="2"/>
      <c r="D591" s="36"/>
      <c r="E591" s="36"/>
      <c r="F591" s="36"/>
      <c r="G591" s="2"/>
      <c r="H591" s="2"/>
      <c r="I591" s="2"/>
      <c r="J591" s="2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</row>
    <row r="592" ht="15.75" customHeight="1">
      <c r="A592" s="36"/>
      <c r="B592" s="36"/>
      <c r="C592" s="2"/>
      <c r="D592" s="36"/>
      <c r="E592" s="36"/>
      <c r="F592" s="36"/>
      <c r="G592" s="2"/>
      <c r="H592" s="2"/>
      <c r="I592" s="2"/>
      <c r="J592" s="2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</row>
    <row r="593" ht="15.75" customHeight="1">
      <c r="A593" s="36"/>
      <c r="B593" s="36"/>
      <c r="C593" s="2"/>
      <c r="D593" s="36"/>
      <c r="E593" s="36"/>
      <c r="F593" s="36"/>
      <c r="G593" s="2"/>
      <c r="H593" s="2"/>
      <c r="I593" s="2"/>
      <c r="J593" s="2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</row>
    <row r="594" ht="15.75" customHeight="1">
      <c r="A594" s="36"/>
      <c r="B594" s="36"/>
      <c r="C594" s="2"/>
      <c r="D594" s="36"/>
      <c r="E594" s="36"/>
      <c r="F594" s="36"/>
      <c r="G594" s="2"/>
      <c r="H594" s="2"/>
      <c r="I594" s="2"/>
      <c r="J594" s="2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</row>
    <row r="595" ht="15.75" customHeight="1">
      <c r="A595" s="36"/>
      <c r="B595" s="36"/>
      <c r="C595" s="2"/>
      <c r="D595" s="36"/>
      <c r="E595" s="36"/>
      <c r="F595" s="36"/>
      <c r="G595" s="2"/>
      <c r="H595" s="2"/>
      <c r="I595" s="2"/>
      <c r="J595" s="2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</row>
    <row r="596" ht="15.75" customHeight="1">
      <c r="A596" s="36"/>
      <c r="B596" s="36"/>
      <c r="C596" s="2"/>
      <c r="D596" s="36"/>
      <c r="E596" s="36"/>
      <c r="F596" s="36"/>
      <c r="G596" s="2"/>
      <c r="H596" s="2"/>
      <c r="I596" s="2"/>
      <c r="J596" s="2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</row>
    <row r="597" ht="15.75" customHeight="1">
      <c r="A597" s="36"/>
      <c r="B597" s="36"/>
      <c r="C597" s="2"/>
      <c r="D597" s="36"/>
      <c r="E597" s="36"/>
      <c r="F597" s="36"/>
      <c r="G597" s="2"/>
      <c r="H597" s="2"/>
      <c r="I597" s="2"/>
      <c r="J597" s="2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</row>
    <row r="598" ht="15.75" customHeight="1">
      <c r="A598" s="36"/>
      <c r="B598" s="36"/>
      <c r="C598" s="2"/>
      <c r="D598" s="36"/>
      <c r="E598" s="36"/>
      <c r="F598" s="36"/>
      <c r="G598" s="2"/>
      <c r="H598" s="2"/>
      <c r="I598" s="2"/>
      <c r="J598" s="2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</row>
    <row r="599" ht="15.75" customHeight="1">
      <c r="A599" s="36"/>
      <c r="B599" s="36"/>
      <c r="C599" s="2"/>
      <c r="D599" s="36"/>
      <c r="E599" s="36"/>
      <c r="F599" s="36"/>
      <c r="G599" s="2"/>
      <c r="H599" s="2"/>
      <c r="I599" s="2"/>
      <c r="J599" s="2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</row>
    <row r="600" ht="15.75" customHeight="1">
      <c r="A600" s="36"/>
      <c r="B600" s="36"/>
      <c r="C600" s="2"/>
      <c r="D600" s="36"/>
      <c r="E600" s="36"/>
      <c r="F600" s="36"/>
      <c r="G600" s="2"/>
      <c r="H600" s="2"/>
      <c r="I600" s="2"/>
      <c r="J600" s="2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</row>
    <row r="601" ht="15.75" customHeight="1">
      <c r="A601" s="36"/>
      <c r="B601" s="36"/>
      <c r="C601" s="2"/>
      <c r="D601" s="36"/>
      <c r="E601" s="36"/>
      <c r="F601" s="36"/>
      <c r="G601" s="2"/>
      <c r="H601" s="2"/>
      <c r="I601" s="2"/>
      <c r="J601" s="2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</row>
    <row r="602" ht="15.75" customHeight="1">
      <c r="A602" s="36"/>
      <c r="B602" s="36"/>
      <c r="C602" s="2"/>
      <c r="D602" s="36"/>
      <c r="E602" s="36"/>
      <c r="F602" s="36"/>
      <c r="G602" s="2"/>
      <c r="H602" s="2"/>
      <c r="I602" s="2"/>
      <c r="J602" s="2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</row>
    <row r="603" ht="15.75" customHeight="1">
      <c r="A603" s="36"/>
      <c r="B603" s="36"/>
      <c r="C603" s="2"/>
      <c r="D603" s="36"/>
      <c r="E603" s="36"/>
      <c r="F603" s="36"/>
      <c r="G603" s="2"/>
      <c r="H603" s="2"/>
      <c r="I603" s="2"/>
      <c r="J603" s="2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</row>
    <row r="604" ht="15.75" customHeight="1">
      <c r="A604" s="36"/>
      <c r="B604" s="36"/>
      <c r="C604" s="2"/>
      <c r="D604" s="36"/>
      <c r="E604" s="36"/>
      <c r="F604" s="36"/>
      <c r="G604" s="2"/>
      <c r="H604" s="2"/>
      <c r="I604" s="2"/>
      <c r="J604" s="2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</row>
    <row r="605" ht="15.75" customHeight="1">
      <c r="A605" s="36"/>
      <c r="B605" s="36"/>
      <c r="C605" s="2"/>
      <c r="D605" s="36"/>
      <c r="E605" s="36"/>
      <c r="F605" s="36"/>
      <c r="G605" s="2"/>
      <c r="H605" s="2"/>
      <c r="I605" s="2"/>
      <c r="J605" s="2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</row>
    <row r="606" ht="15.75" customHeight="1">
      <c r="A606" s="36"/>
      <c r="B606" s="36"/>
      <c r="C606" s="2"/>
      <c r="D606" s="36"/>
      <c r="E606" s="36"/>
      <c r="F606" s="36"/>
      <c r="G606" s="2"/>
      <c r="H606" s="2"/>
      <c r="I606" s="2"/>
      <c r="J606" s="2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</row>
    <row r="607" ht="15.75" customHeight="1">
      <c r="A607" s="36"/>
      <c r="B607" s="36"/>
      <c r="C607" s="2"/>
      <c r="D607" s="36"/>
      <c r="E607" s="36"/>
      <c r="F607" s="36"/>
      <c r="G607" s="2"/>
      <c r="H607" s="2"/>
      <c r="I607" s="2"/>
      <c r="J607" s="2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</row>
    <row r="608" ht="15.75" customHeight="1">
      <c r="A608" s="36"/>
      <c r="B608" s="36"/>
      <c r="C608" s="2"/>
      <c r="D608" s="36"/>
      <c r="E608" s="36"/>
      <c r="F608" s="36"/>
      <c r="G608" s="2"/>
      <c r="H608" s="2"/>
      <c r="I608" s="2"/>
      <c r="J608" s="2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</row>
    <row r="609" ht="15.75" customHeight="1">
      <c r="A609" s="36"/>
      <c r="B609" s="36"/>
      <c r="C609" s="2"/>
      <c r="D609" s="36"/>
      <c r="E609" s="36"/>
      <c r="F609" s="36"/>
      <c r="G609" s="2"/>
      <c r="H609" s="2"/>
      <c r="I609" s="2"/>
      <c r="J609" s="2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</row>
    <row r="610" ht="15.75" customHeight="1">
      <c r="A610" s="36"/>
      <c r="B610" s="36"/>
      <c r="C610" s="2"/>
      <c r="D610" s="36"/>
      <c r="E610" s="36"/>
      <c r="F610" s="36"/>
      <c r="G610" s="2"/>
      <c r="H610" s="2"/>
      <c r="I610" s="2"/>
      <c r="J610" s="2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</row>
    <row r="611" ht="15.75" customHeight="1">
      <c r="A611" s="36"/>
      <c r="B611" s="36"/>
      <c r="C611" s="2"/>
      <c r="D611" s="36"/>
      <c r="E611" s="36"/>
      <c r="F611" s="36"/>
      <c r="G611" s="2"/>
      <c r="H611" s="2"/>
      <c r="I611" s="2"/>
      <c r="J611" s="2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</row>
    <row r="612" ht="15.75" customHeight="1">
      <c r="A612" s="36"/>
      <c r="B612" s="36"/>
      <c r="C612" s="2"/>
      <c r="D612" s="36"/>
      <c r="E612" s="36"/>
      <c r="F612" s="36"/>
      <c r="G612" s="2"/>
      <c r="H612" s="2"/>
      <c r="I612" s="2"/>
      <c r="J612" s="2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</row>
    <row r="613" ht="15.75" customHeight="1">
      <c r="A613" s="36"/>
      <c r="B613" s="36"/>
      <c r="C613" s="2"/>
      <c r="D613" s="36"/>
      <c r="E613" s="36"/>
      <c r="F613" s="36"/>
      <c r="G613" s="2"/>
      <c r="H613" s="2"/>
      <c r="I613" s="2"/>
      <c r="J613" s="2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</row>
    <row r="614" ht="15.75" customHeight="1">
      <c r="A614" s="36"/>
      <c r="B614" s="36"/>
      <c r="C614" s="2"/>
      <c r="D614" s="36"/>
      <c r="E614" s="36"/>
      <c r="F614" s="36"/>
      <c r="G614" s="2"/>
      <c r="H614" s="2"/>
      <c r="I614" s="2"/>
      <c r="J614" s="2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</row>
    <row r="615" ht="15.75" customHeight="1">
      <c r="A615" s="36"/>
      <c r="B615" s="36"/>
      <c r="C615" s="2"/>
      <c r="D615" s="36"/>
      <c r="E615" s="36"/>
      <c r="F615" s="36"/>
      <c r="G615" s="2"/>
      <c r="H615" s="2"/>
      <c r="I615" s="2"/>
      <c r="J615" s="2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</row>
    <row r="616" ht="15.75" customHeight="1">
      <c r="A616" s="36"/>
      <c r="B616" s="36"/>
      <c r="C616" s="2"/>
      <c r="D616" s="36"/>
      <c r="E616" s="36"/>
      <c r="F616" s="36"/>
      <c r="G616" s="2"/>
      <c r="H616" s="2"/>
      <c r="I616" s="2"/>
      <c r="J616" s="2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</row>
    <row r="617" ht="15.75" customHeight="1">
      <c r="A617" s="36"/>
      <c r="B617" s="36"/>
      <c r="C617" s="2"/>
      <c r="D617" s="36"/>
      <c r="E617" s="36"/>
      <c r="F617" s="36"/>
      <c r="G617" s="2"/>
      <c r="H617" s="2"/>
      <c r="I617" s="2"/>
      <c r="J617" s="2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</row>
    <row r="618" ht="15.75" customHeight="1">
      <c r="A618" s="36"/>
      <c r="B618" s="36"/>
      <c r="C618" s="2"/>
      <c r="D618" s="36"/>
      <c r="E618" s="36"/>
      <c r="F618" s="36"/>
      <c r="G618" s="2"/>
      <c r="H618" s="2"/>
      <c r="I618" s="2"/>
      <c r="J618" s="2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</row>
    <row r="619" ht="15.75" customHeight="1">
      <c r="A619" s="36"/>
      <c r="B619" s="36"/>
      <c r="C619" s="2"/>
      <c r="D619" s="36"/>
      <c r="E619" s="36"/>
      <c r="F619" s="36"/>
      <c r="G619" s="2"/>
      <c r="H619" s="2"/>
      <c r="I619" s="2"/>
      <c r="J619" s="2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</row>
    <row r="620" ht="15.75" customHeight="1">
      <c r="A620" s="36"/>
      <c r="B620" s="36"/>
      <c r="C620" s="2"/>
      <c r="D620" s="36"/>
      <c r="E620" s="36"/>
      <c r="F620" s="36"/>
      <c r="G620" s="2"/>
      <c r="H620" s="2"/>
      <c r="I620" s="2"/>
      <c r="J620" s="2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</row>
    <row r="621" ht="15.75" customHeight="1">
      <c r="A621" s="36"/>
      <c r="B621" s="36"/>
      <c r="C621" s="2"/>
      <c r="D621" s="36"/>
      <c r="E621" s="36"/>
      <c r="F621" s="36"/>
      <c r="G621" s="2"/>
      <c r="H621" s="2"/>
      <c r="I621" s="2"/>
      <c r="J621" s="2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</row>
    <row r="622" ht="15.75" customHeight="1">
      <c r="A622" s="36"/>
      <c r="B622" s="36"/>
      <c r="C622" s="2"/>
      <c r="D622" s="36"/>
      <c r="E622" s="36"/>
      <c r="F622" s="36"/>
      <c r="G622" s="2"/>
      <c r="H622" s="2"/>
      <c r="I622" s="2"/>
      <c r="J622" s="2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</row>
    <row r="623" ht="15.75" customHeight="1">
      <c r="A623" s="36"/>
      <c r="B623" s="36"/>
      <c r="C623" s="2"/>
      <c r="D623" s="36"/>
      <c r="E623" s="36"/>
      <c r="F623" s="36"/>
      <c r="G623" s="2"/>
      <c r="H623" s="2"/>
      <c r="I623" s="2"/>
      <c r="J623" s="2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</row>
    <row r="624" ht="15.75" customHeight="1">
      <c r="A624" s="36"/>
      <c r="B624" s="36"/>
      <c r="C624" s="2"/>
      <c r="D624" s="36"/>
      <c r="E624" s="36"/>
      <c r="F624" s="36"/>
      <c r="G624" s="2"/>
      <c r="H624" s="2"/>
      <c r="I624" s="2"/>
      <c r="J624" s="2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</row>
    <row r="625" ht="15.75" customHeight="1">
      <c r="A625" s="36"/>
      <c r="B625" s="36"/>
      <c r="C625" s="2"/>
      <c r="D625" s="36"/>
      <c r="E625" s="36"/>
      <c r="F625" s="36"/>
      <c r="G625" s="2"/>
      <c r="H625" s="2"/>
      <c r="I625" s="2"/>
      <c r="J625" s="2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</row>
    <row r="626" ht="15.75" customHeight="1">
      <c r="A626" s="36"/>
      <c r="B626" s="36"/>
      <c r="C626" s="2"/>
      <c r="D626" s="36"/>
      <c r="E626" s="36"/>
      <c r="F626" s="36"/>
      <c r="G626" s="2"/>
      <c r="H626" s="2"/>
      <c r="I626" s="2"/>
      <c r="J626" s="2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</row>
    <row r="627" ht="15.75" customHeight="1">
      <c r="A627" s="36"/>
      <c r="B627" s="36"/>
      <c r="C627" s="2"/>
      <c r="D627" s="36"/>
      <c r="E627" s="36"/>
      <c r="F627" s="36"/>
      <c r="G627" s="2"/>
      <c r="H627" s="2"/>
      <c r="I627" s="2"/>
      <c r="J627" s="2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</row>
    <row r="628" ht="15.75" customHeight="1">
      <c r="A628" s="36"/>
      <c r="B628" s="36"/>
      <c r="C628" s="2"/>
      <c r="D628" s="36"/>
      <c r="E628" s="36"/>
      <c r="F628" s="36"/>
      <c r="G628" s="2"/>
      <c r="H628" s="2"/>
      <c r="I628" s="2"/>
      <c r="J628" s="2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</row>
    <row r="629" ht="15.75" customHeight="1">
      <c r="A629" s="36"/>
      <c r="B629" s="36"/>
      <c r="C629" s="2"/>
      <c r="D629" s="36"/>
      <c r="E629" s="36"/>
      <c r="F629" s="36"/>
      <c r="G629" s="2"/>
      <c r="H629" s="2"/>
      <c r="I629" s="2"/>
      <c r="J629" s="2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</row>
    <row r="630" ht="15.75" customHeight="1">
      <c r="A630" s="36"/>
      <c r="B630" s="36"/>
      <c r="C630" s="2"/>
      <c r="D630" s="36"/>
      <c r="E630" s="36"/>
      <c r="F630" s="36"/>
      <c r="G630" s="2"/>
      <c r="H630" s="2"/>
      <c r="I630" s="2"/>
      <c r="J630" s="2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</row>
    <row r="631" ht="15.75" customHeight="1">
      <c r="A631" s="36"/>
      <c r="B631" s="36"/>
      <c r="C631" s="2"/>
      <c r="D631" s="36"/>
      <c r="E631" s="36"/>
      <c r="F631" s="36"/>
      <c r="G631" s="2"/>
      <c r="H631" s="2"/>
      <c r="I631" s="2"/>
      <c r="J631" s="2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</row>
    <row r="632" ht="15.75" customHeight="1">
      <c r="A632" s="36"/>
      <c r="B632" s="36"/>
      <c r="C632" s="2"/>
      <c r="D632" s="36"/>
      <c r="E632" s="36"/>
      <c r="F632" s="36"/>
      <c r="G632" s="2"/>
      <c r="H632" s="2"/>
      <c r="I632" s="2"/>
      <c r="J632" s="2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</row>
    <row r="633" ht="15.75" customHeight="1">
      <c r="A633" s="36"/>
      <c r="B633" s="36"/>
      <c r="C633" s="2"/>
      <c r="D633" s="36"/>
      <c r="E633" s="36"/>
      <c r="F633" s="36"/>
      <c r="G633" s="2"/>
      <c r="H633" s="2"/>
      <c r="I633" s="2"/>
      <c r="J633" s="2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</row>
    <row r="634" ht="15.75" customHeight="1">
      <c r="A634" s="36"/>
      <c r="B634" s="36"/>
      <c r="C634" s="2"/>
      <c r="D634" s="36"/>
      <c r="E634" s="36"/>
      <c r="F634" s="36"/>
      <c r="G634" s="2"/>
      <c r="H634" s="2"/>
      <c r="I634" s="2"/>
      <c r="J634" s="2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</row>
    <row r="635" ht="15.75" customHeight="1">
      <c r="A635" s="36"/>
      <c r="B635" s="36"/>
      <c r="C635" s="2"/>
      <c r="D635" s="36"/>
      <c r="E635" s="36"/>
      <c r="F635" s="36"/>
      <c r="G635" s="2"/>
      <c r="H635" s="2"/>
      <c r="I635" s="2"/>
      <c r="J635" s="2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</row>
    <row r="636" ht="15.75" customHeight="1">
      <c r="A636" s="36"/>
      <c r="B636" s="36"/>
      <c r="C636" s="2"/>
      <c r="D636" s="36"/>
      <c r="E636" s="36"/>
      <c r="F636" s="36"/>
      <c r="G636" s="2"/>
      <c r="H636" s="2"/>
      <c r="I636" s="2"/>
      <c r="J636" s="2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</row>
    <row r="637" ht="15.75" customHeight="1">
      <c r="A637" s="36"/>
      <c r="B637" s="36"/>
      <c r="C637" s="2"/>
      <c r="D637" s="36"/>
      <c r="E637" s="36"/>
      <c r="F637" s="36"/>
      <c r="G637" s="2"/>
      <c r="H637" s="2"/>
      <c r="I637" s="2"/>
      <c r="J637" s="2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</row>
    <row r="638" ht="15.75" customHeight="1">
      <c r="A638" s="36"/>
      <c r="B638" s="36"/>
      <c r="C638" s="2"/>
      <c r="D638" s="36"/>
      <c r="E638" s="36"/>
      <c r="F638" s="36"/>
      <c r="G638" s="2"/>
      <c r="H638" s="2"/>
      <c r="I638" s="2"/>
      <c r="J638" s="2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</row>
    <row r="639" ht="15.75" customHeight="1">
      <c r="A639" s="36"/>
      <c r="B639" s="36"/>
      <c r="C639" s="2"/>
      <c r="D639" s="36"/>
      <c r="E639" s="36"/>
      <c r="F639" s="36"/>
      <c r="G639" s="2"/>
      <c r="H639" s="2"/>
      <c r="I639" s="2"/>
      <c r="J639" s="2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</row>
    <row r="640" ht="15.75" customHeight="1">
      <c r="A640" s="36"/>
      <c r="B640" s="36"/>
      <c r="C640" s="2"/>
      <c r="D640" s="36"/>
      <c r="E640" s="36"/>
      <c r="F640" s="36"/>
      <c r="G640" s="2"/>
      <c r="H640" s="2"/>
      <c r="I640" s="2"/>
      <c r="J640" s="2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</row>
    <row r="641" ht="15.75" customHeight="1">
      <c r="A641" s="36"/>
      <c r="B641" s="36"/>
      <c r="C641" s="2"/>
      <c r="D641" s="36"/>
      <c r="E641" s="36"/>
      <c r="F641" s="36"/>
      <c r="G641" s="2"/>
      <c r="H641" s="2"/>
      <c r="I641" s="2"/>
      <c r="J641" s="2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</row>
    <row r="642" ht="15.75" customHeight="1">
      <c r="A642" s="36"/>
      <c r="B642" s="36"/>
      <c r="C642" s="2"/>
      <c r="D642" s="36"/>
      <c r="E642" s="36"/>
      <c r="F642" s="36"/>
      <c r="G642" s="2"/>
      <c r="H642" s="2"/>
      <c r="I642" s="2"/>
      <c r="J642" s="2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</row>
    <row r="643" ht="15.75" customHeight="1">
      <c r="A643" s="36"/>
      <c r="B643" s="36"/>
      <c r="C643" s="2"/>
      <c r="D643" s="36"/>
      <c r="E643" s="36"/>
      <c r="F643" s="36"/>
      <c r="G643" s="2"/>
      <c r="H643" s="2"/>
      <c r="I643" s="2"/>
      <c r="J643" s="2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</row>
    <row r="644" ht="15.75" customHeight="1">
      <c r="A644" s="36"/>
      <c r="B644" s="36"/>
      <c r="C644" s="2"/>
      <c r="D644" s="36"/>
      <c r="E644" s="36"/>
      <c r="F644" s="36"/>
      <c r="G644" s="2"/>
      <c r="H644" s="2"/>
      <c r="I644" s="2"/>
      <c r="J644" s="2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</row>
    <row r="645" ht="15.75" customHeight="1">
      <c r="A645" s="36"/>
      <c r="B645" s="36"/>
      <c r="C645" s="2"/>
      <c r="D645" s="36"/>
      <c r="E645" s="36"/>
      <c r="F645" s="36"/>
      <c r="G645" s="2"/>
      <c r="H645" s="2"/>
      <c r="I645" s="2"/>
      <c r="J645" s="2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</row>
    <row r="646" ht="15.75" customHeight="1">
      <c r="A646" s="36"/>
      <c r="B646" s="36"/>
      <c r="C646" s="2"/>
      <c r="D646" s="36"/>
      <c r="E646" s="36"/>
      <c r="F646" s="36"/>
      <c r="G646" s="2"/>
      <c r="H646" s="2"/>
      <c r="I646" s="2"/>
      <c r="J646" s="2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</row>
    <row r="647" ht="15.75" customHeight="1">
      <c r="A647" s="36"/>
      <c r="B647" s="36"/>
      <c r="C647" s="2"/>
      <c r="D647" s="36"/>
      <c r="E647" s="36"/>
      <c r="F647" s="36"/>
      <c r="G647" s="2"/>
      <c r="H647" s="2"/>
      <c r="I647" s="2"/>
      <c r="J647" s="2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</row>
    <row r="648" ht="15.75" customHeight="1">
      <c r="A648" s="36"/>
      <c r="B648" s="36"/>
      <c r="C648" s="2"/>
      <c r="D648" s="36"/>
      <c r="E648" s="36"/>
      <c r="F648" s="36"/>
      <c r="G648" s="2"/>
      <c r="H648" s="2"/>
      <c r="I648" s="2"/>
      <c r="J648" s="2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</row>
    <row r="649" ht="15.75" customHeight="1">
      <c r="A649" s="36"/>
      <c r="B649" s="36"/>
      <c r="C649" s="2"/>
      <c r="D649" s="36"/>
      <c r="E649" s="36"/>
      <c r="F649" s="36"/>
      <c r="G649" s="2"/>
      <c r="H649" s="2"/>
      <c r="I649" s="2"/>
      <c r="J649" s="2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</row>
    <row r="650" ht="15.75" customHeight="1">
      <c r="A650" s="36"/>
      <c r="B650" s="36"/>
      <c r="C650" s="2"/>
      <c r="D650" s="36"/>
      <c r="E650" s="36"/>
      <c r="F650" s="36"/>
      <c r="G650" s="2"/>
      <c r="H650" s="2"/>
      <c r="I650" s="2"/>
      <c r="J650" s="2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 ht="15.75" customHeight="1">
      <c r="A651" s="36"/>
      <c r="B651" s="36"/>
      <c r="C651" s="2"/>
      <c r="D651" s="36"/>
      <c r="E651" s="36"/>
      <c r="F651" s="36"/>
      <c r="G651" s="2"/>
      <c r="H651" s="2"/>
      <c r="I651" s="2"/>
      <c r="J651" s="2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</row>
    <row r="652" ht="15.75" customHeight="1">
      <c r="A652" s="36"/>
      <c r="B652" s="36"/>
      <c r="C652" s="2"/>
      <c r="D652" s="36"/>
      <c r="E652" s="36"/>
      <c r="F652" s="36"/>
      <c r="G652" s="2"/>
      <c r="H652" s="2"/>
      <c r="I652" s="2"/>
      <c r="J652" s="2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</row>
    <row r="653" ht="15.75" customHeight="1">
      <c r="A653" s="36"/>
      <c r="B653" s="36"/>
      <c r="C653" s="2"/>
      <c r="D653" s="36"/>
      <c r="E653" s="36"/>
      <c r="F653" s="36"/>
      <c r="G653" s="2"/>
      <c r="H653" s="2"/>
      <c r="I653" s="2"/>
      <c r="J653" s="2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</row>
    <row r="654" ht="15.75" customHeight="1">
      <c r="A654" s="36"/>
      <c r="B654" s="36"/>
      <c r="C654" s="2"/>
      <c r="D654" s="36"/>
      <c r="E654" s="36"/>
      <c r="F654" s="36"/>
      <c r="G654" s="2"/>
      <c r="H654" s="2"/>
      <c r="I654" s="2"/>
      <c r="J654" s="2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</row>
    <row r="655" ht="15.75" customHeight="1">
      <c r="A655" s="36"/>
      <c r="B655" s="36"/>
      <c r="C655" s="2"/>
      <c r="D655" s="36"/>
      <c r="E655" s="36"/>
      <c r="F655" s="36"/>
      <c r="G655" s="2"/>
      <c r="H655" s="2"/>
      <c r="I655" s="2"/>
      <c r="J655" s="2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</row>
    <row r="656" ht="15.75" customHeight="1">
      <c r="A656" s="36"/>
      <c r="B656" s="36"/>
      <c r="C656" s="2"/>
      <c r="D656" s="36"/>
      <c r="E656" s="36"/>
      <c r="F656" s="36"/>
      <c r="G656" s="2"/>
      <c r="H656" s="2"/>
      <c r="I656" s="2"/>
      <c r="J656" s="2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</row>
    <row r="657" ht="15.75" customHeight="1">
      <c r="A657" s="36"/>
      <c r="B657" s="36"/>
      <c r="C657" s="2"/>
      <c r="D657" s="36"/>
      <c r="E657" s="36"/>
      <c r="F657" s="36"/>
      <c r="G657" s="2"/>
      <c r="H657" s="2"/>
      <c r="I657" s="2"/>
      <c r="J657" s="2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</row>
    <row r="658" ht="15.75" customHeight="1">
      <c r="A658" s="36"/>
      <c r="B658" s="36"/>
      <c r="C658" s="2"/>
      <c r="D658" s="36"/>
      <c r="E658" s="36"/>
      <c r="F658" s="36"/>
      <c r="G658" s="2"/>
      <c r="H658" s="2"/>
      <c r="I658" s="2"/>
      <c r="J658" s="2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</row>
    <row r="659" ht="15.75" customHeight="1">
      <c r="A659" s="36"/>
      <c r="B659" s="36"/>
      <c r="C659" s="2"/>
      <c r="D659" s="36"/>
      <c r="E659" s="36"/>
      <c r="F659" s="36"/>
      <c r="G659" s="2"/>
      <c r="H659" s="2"/>
      <c r="I659" s="2"/>
      <c r="J659" s="2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</row>
    <row r="660" ht="15.75" customHeight="1">
      <c r="A660" s="36"/>
      <c r="B660" s="36"/>
      <c r="C660" s="2"/>
      <c r="D660" s="36"/>
      <c r="E660" s="36"/>
      <c r="F660" s="36"/>
      <c r="G660" s="2"/>
      <c r="H660" s="2"/>
      <c r="I660" s="2"/>
      <c r="J660" s="2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</row>
    <row r="661" ht="15.75" customHeight="1">
      <c r="A661" s="36"/>
      <c r="B661" s="36"/>
      <c r="C661" s="2"/>
      <c r="D661" s="36"/>
      <c r="E661" s="36"/>
      <c r="F661" s="36"/>
      <c r="G661" s="2"/>
      <c r="H661" s="2"/>
      <c r="I661" s="2"/>
      <c r="J661" s="2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</row>
    <row r="662" ht="15.75" customHeight="1">
      <c r="A662" s="36"/>
      <c r="B662" s="36"/>
      <c r="C662" s="2"/>
      <c r="D662" s="36"/>
      <c r="E662" s="36"/>
      <c r="F662" s="36"/>
      <c r="G662" s="2"/>
      <c r="H662" s="2"/>
      <c r="I662" s="2"/>
      <c r="J662" s="2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</row>
    <row r="663" ht="15.75" customHeight="1">
      <c r="A663" s="36"/>
      <c r="B663" s="36"/>
      <c r="C663" s="2"/>
      <c r="D663" s="36"/>
      <c r="E663" s="36"/>
      <c r="F663" s="36"/>
      <c r="G663" s="2"/>
      <c r="H663" s="2"/>
      <c r="I663" s="2"/>
      <c r="J663" s="2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</row>
    <row r="664" ht="15.75" customHeight="1">
      <c r="A664" s="36"/>
      <c r="B664" s="36"/>
      <c r="C664" s="2"/>
      <c r="D664" s="36"/>
      <c r="E664" s="36"/>
      <c r="F664" s="36"/>
      <c r="G664" s="2"/>
      <c r="H664" s="2"/>
      <c r="I664" s="2"/>
      <c r="J664" s="2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</row>
    <row r="665" ht="15.75" customHeight="1">
      <c r="A665" s="36"/>
      <c r="B665" s="36"/>
      <c r="C665" s="2"/>
      <c r="D665" s="36"/>
      <c r="E665" s="36"/>
      <c r="F665" s="36"/>
      <c r="G665" s="2"/>
      <c r="H665" s="2"/>
      <c r="I665" s="2"/>
      <c r="J665" s="2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</row>
    <row r="666" ht="15.75" customHeight="1">
      <c r="A666" s="36"/>
      <c r="B666" s="36"/>
      <c r="C666" s="2"/>
      <c r="D666" s="36"/>
      <c r="E666" s="36"/>
      <c r="F666" s="36"/>
      <c r="G666" s="2"/>
      <c r="H666" s="2"/>
      <c r="I666" s="2"/>
      <c r="J666" s="2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</row>
    <row r="667" ht="15.75" customHeight="1">
      <c r="A667" s="36"/>
      <c r="B667" s="36"/>
      <c r="C667" s="2"/>
      <c r="D667" s="36"/>
      <c r="E667" s="36"/>
      <c r="F667" s="36"/>
      <c r="G667" s="2"/>
      <c r="H667" s="2"/>
      <c r="I667" s="2"/>
      <c r="J667" s="2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</row>
    <row r="668" ht="15.75" customHeight="1">
      <c r="A668" s="36"/>
      <c r="B668" s="36"/>
      <c r="C668" s="2"/>
      <c r="D668" s="36"/>
      <c r="E668" s="36"/>
      <c r="F668" s="36"/>
      <c r="G668" s="2"/>
      <c r="H668" s="2"/>
      <c r="I668" s="2"/>
      <c r="J668" s="2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</row>
    <row r="669" ht="15.75" customHeight="1">
      <c r="A669" s="36"/>
      <c r="B669" s="36"/>
      <c r="C669" s="2"/>
      <c r="D669" s="36"/>
      <c r="E669" s="36"/>
      <c r="F669" s="36"/>
      <c r="G669" s="2"/>
      <c r="H669" s="2"/>
      <c r="I669" s="2"/>
      <c r="J669" s="2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</row>
    <row r="670" ht="15.75" customHeight="1">
      <c r="A670" s="36"/>
      <c r="B670" s="36"/>
      <c r="C670" s="2"/>
      <c r="D670" s="36"/>
      <c r="E670" s="36"/>
      <c r="F670" s="36"/>
      <c r="G670" s="2"/>
      <c r="H670" s="2"/>
      <c r="I670" s="2"/>
      <c r="J670" s="2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</row>
    <row r="671" ht="15.75" customHeight="1">
      <c r="A671" s="36"/>
      <c r="B671" s="36"/>
      <c r="C671" s="2"/>
      <c r="D671" s="36"/>
      <c r="E671" s="36"/>
      <c r="F671" s="36"/>
      <c r="G671" s="2"/>
      <c r="H671" s="2"/>
      <c r="I671" s="2"/>
      <c r="J671" s="2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</row>
    <row r="672" ht="15.75" customHeight="1">
      <c r="A672" s="36"/>
      <c r="B672" s="36"/>
      <c r="C672" s="2"/>
      <c r="D672" s="36"/>
      <c r="E672" s="36"/>
      <c r="F672" s="36"/>
      <c r="G672" s="2"/>
      <c r="H672" s="2"/>
      <c r="I672" s="2"/>
      <c r="J672" s="2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</row>
    <row r="673" ht="15.75" customHeight="1">
      <c r="A673" s="36"/>
      <c r="B673" s="36"/>
      <c r="C673" s="2"/>
      <c r="D673" s="36"/>
      <c r="E673" s="36"/>
      <c r="F673" s="36"/>
      <c r="G673" s="2"/>
      <c r="H673" s="2"/>
      <c r="I673" s="2"/>
      <c r="J673" s="2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</row>
    <row r="674" ht="15.75" customHeight="1">
      <c r="A674" s="36"/>
      <c r="B674" s="36"/>
      <c r="C674" s="2"/>
      <c r="D674" s="36"/>
      <c r="E674" s="36"/>
      <c r="F674" s="36"/>
      <c r="G674" s="2"/>
      <c r="H674" s="2"/>
      <c r="I674" s="2"/>
      <c r="J674" s="2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 ht="15.75" customHeight="1">
      <c r="A675" s="36"/>
      <c r="B675" s="36"/>
      <c r="C675" s="2"/>
      <c r="D675" s="36"/>
      <c r="E675" s="36"/>
      <c r="F675" s="36"/>
      <c r="G675" s="2"/>
      <c r="H675" s="2"/>
      <c r="I675" s="2"/>
      <c r="J675" s="2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</row>
    <row r="676" ht="15.75" customHeight="1">
      <c r="A676" s="36"/>
      <c r="B676" s="36"/>
      <c r="C676" s="2"/>
      <c r="D676" s="36"/>
      <c r="E676" s="36"/>
      <c r="F676" s="36"/>
      <c r="G676" s="2"/>
      <c r="H676" s="2"/>
      <c r="I676" s="2"/>
      <c r="J676" s="2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 ht="15.75" customHeight="1">
      <c r="A677" s="36"/>
      <c r="B677" s="36"/>
      <c r="C677" s="2"/>
      <c r="D677" s="36"/>
      <c r="E677" s="36"/>
      <c r="F677" s="36"/>
      <c r="G677" s="2"/>
      <c r="H677" s="2"/>
      <c r="I677" s="2"/>
      <c r="J677" s="2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</row>
    <row r="678" ht="15.75" customHeight="1">
      <c r="A678" s="36"/>
      <c r="B678" s="36"/>
      <c r="C678" s="2"/>
      <c r="D678" s="36"/>
      <c r="E678" s="36"/>
      <c r="F678" s="36"/>
      <c r="G678" s="2"/>
      <c r="H678" s="2"/>
      <c r="I678" s="2"/>
      <c r="J678" s="2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</row>
    <row r="679" ht="15.75" customHeight="1">
      <c r="A679" s="36"/>
      <c r="B679" s="36"/>
      <c r="C679" s="2"/>
      <c r="D679" s="36"/>
      <c r="E679" s="36"/>
      <c r="F679" s="36"/>
      <c r="G679" s="2"/>
      <c r="H679" s="2"/>
      <c r="I679" s="2"/>
      <c r="J679" s="2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</row>
    <row r="680" ht="15.75" customHeight="1">
      <c r="A680" s="36"/>
      <c r="B680" s="36"/>
      <c r="C680" s="2"/>
      <c r="D680" s="36"/>
      <c r="E680" s="36"/>
      <c r="F680" s="36"/>
      <c r="G680" s="2"/>
      <c r="H680" s="2"/>
      <c r="I680" s="2"/>
      <c r="J680" s="2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</row>
    <row r="681" ht="15.75" customHeight="1">
      <c r="A681" s="36"/>
      <c r="B681" s="36"/>
      <c r="C681" s="2"/>
      <c r="D681" s="36"/>
      <c r="E681" s="36"/>
      <c r="F681" s="36"/>
      <c r="G681" s="2"/>
      <c r="H681" s="2"/>
      <c r="I681" s="2"/>
      <c r="J681" s="2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</row>
    <row r="682" ht="15.75" customHeight="1">
      <c r="A682" s="36"/>
      <c r="B682" s="36"/>
      <c r="C682" s="2"/>
      <c r="D682" s="36"/>
      <c r="E682" s="36"/>
      <c r="F682" s="36"/>
      <c r="G682" s="2"/>
      <c r="H682" s="2"/>
      <c r="I682" s="2"/>
      <c r="J682" s="2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</row>
    <row r="683" ht="15.75" customHeight="1">
      <c r="A683" s="36"/>
      <c r="B683" s="36"/>
      <c r="C683" s="2"/>
      <c r="D683" s="36"/>
      <c r="E683" s="36"/>
      <c r="F683" s="36"/>
      <c r="G683" s="2"/>
      <c r="H683" s="2"/>
      <c r="I683" s="2"/>
      <c r="J683" s="2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</row>
    <row r="684" ht="15.75" customHeight="1">
      <c r="A684" s="36"/>
      <c r="B684" s="36"/>
      <c r="C684" s="2"/>
      <c r="D684" s="36"/>
      <c r="E684" s="36"/>
      <c r="F684" s="36"/>
      <c r="G684" s="2"/>
      <c r="H684" s="2"/>
      <c r="I684" s="2"/>
      <c r="J684" s="2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</row>
    <row r="685" ht="15.75" customHeight="1">
      <c r="A685" s="36"/>
      <c r="B685" s="36"/>
      <c r="C685" s="2"/>
      <c r="D685" s="36"/>
      <c r="E685" s="36"/>
      <c r="F685" s="36"/>
      <c r="G685" s="2"/>
      <c r="H685" s="2"/>
      <c r="I685" s="2"/>
      <c r="J685" s="2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</row>
    <row r="686" ht="15.75" customHeight="1">
      <c r="A686" s="36"/>
      <c r="B686" s="36"/>
      <c r="C686" s="2"/>
      <c r="D686" s="36"/>
      <c r="E686" s="36"/>
      <c r="F686" s="36"/>
      <c r="G686" s="2"/>
      <c r="H686" s="2"/>
      <c r="I686" s="2"/>
      <c r="J686" s="2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</row>
    <row r="687" ht="15.75" customHeight="1">
      <c r="A687" s="36"/>
      <c r="B687" s="36"/>
      <c r="C687" s="2"/>
      <c r="D687" s="36"/>
      <c r="E687" s="36"/>
      <c r="F687" s="36"/>
      <c r="G687" s="2"/>
      <c r="H687" s="2"/>
      <c r="I687" s="2"/>
      <c r="J687" s="2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</row>
    <row r="688" ht="15.75" customHeight="1">
      <c r="A688" s="36"/>
      <c r="B688" s="36"/>
      <c r="C688" s="2"/>
      <c r="D688" s="36"/>
      <c r="E688" s="36"/>
      <c r="F688" s="36"/>
      <c r="G688" s="2"/>
      <c r="H688" s="2"/>
      <c r="I688" s="2"/>
      <c r="J688" s="2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</row>
    <row r="689" ht="15.75" customHeight="1">
      <c r="A689" s="36"/>
      <c r="B689" s="36"/>
      <c r="C689" s="2"/>
      <c r="D689" s="36"/>
      <c r="E689" s="36"/>
      <c r="F689" s="36"/>
      <c r="G689" s="2"/>
      <c r="H689" s="2"/>
      <c r="I689" s="2"/>
      <c r="J689" s="2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</row>
    <row r="690" ht="15.75" customHeight="1">
      <c r="A690" s="36"/>
      <c r="B690" s="36"/>
      <c r="C690" s="2"/>
      <c r="D690" s="36"/>
      <c r="E690" s="36"/>
      <c r="F690" s="36"/>
      <c r="G690" s="2"/>
      <c r="H690" s="2"/>
      <c r="I690" s="2"/>
      <c r="J690" s="2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</row>
    <row r="691" ht="15.75" customHeight="1">
      <c r="A691" s="36"/>
      <c r="B691" s="36"/>
      <c r="C691" s="2"/>
      <c r="D691" s="36"/>
      <c r="E691" s="36"/>
      <c r="F691" s="36"/>
      <c r="G691" s="2"/>
      <c r="H691" s="2"/>
      <c r="I691" s="2"/>
      <c r="J691" s="2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</row>
    <row r="692" ht="15.75" customHeight="1">
      <c r="A692" s="36"/>
      <c r="B692" s="36"/>
      <c r="C692" s="2"/>
      <c r="D692" s="36"/>
      <c r="E692" s="36"/>
      <c r="F692" s="36"/>
      <c r="G692" s="2"/>
      <c r="H692" s="2"/>
      <c r="I692" s="2"/>
      <c r="J692" s="2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</row>
    <row r="693" ht="15.75" customHeight="1">
      <c r="A693" s="36"/>
      <c r="B693" s="36"/>
      <c r="C693" s="2"/>
      <c r="D693" s="36"/>
      <c r="E693" s="36"/>
      <c r="F693" s="36"/>
      <c r="G693" s="2"/>
      <c r="H693" s="2"/>
      <c r="I693" s="2"/>
      <c r="J693" s="2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</row>
    <row r="694" ht="15.75" customHeight="1">
      <c r="A694" s="36"/>
      <c r="B694" s="36"/>
      <c r="C694" s="2"/>
      <c r="D694" s="36"/>
      <c r="E694" s="36"/>
      <c r="F694" s="36"/>
      <c r="G694" s="2"/>
      <c r="H694" s="2"/>
      <c r="I694" s="2"/>
      <c r="J694" s="2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</row>
    <row r="695" ht="15.75" customHeight="1">
      <c r="A695" s="36"/>
      <c r="B695" s="36"/>
      <c r="C695" s="2"/>
      <c r="D695" s="36"/>
      <c r="E695" s="36"/>
      <c r="F695" s="36"/>
      <c r="G695" s="2"/>
      <c r="H695" s="2"/>
      <c r="I695" s="2"/>
      <c r="J695" s="2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</row>
    <row r="696" ht="15.75" customHeight="1">
      <c r="A696" s="36"/>
      <c r="B696" s="36"/>
      <c r="C696" s="2"/>
      <c r="D696" s="36"/>
      <c r="E696" s="36"/>
      <c r="F696" s="36"/>
      <c r="G696" s="2"/>
      <c r="H696" s="2"/>
      <c r="I696" s="2"/>
      <c r="J696" s="2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</row>
    <row r="697" ht="15.75" customHeight="1">
      <c r="A697" s="36"/>
      <c r="B697" s="36"/>
      <c r="C697" s="2"/>
      <c r="D697" s="36"/>
      <c r="E697" s="36"/>
      <c r="F697" s="36"/>
      <c r="G697" s="2"/>
      <c r="H697" s="2"/>
      <c r="I697" s="2"/>
      <c r="J697" s="2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</row>
    <row r="698" ht="15.75" customHeight="1">
      <c r="A698" s="36"/>
      <c r="B698" s="36"/>
      <c r="C698" s="2"/>
      <c r="D698" s="36"/>
      <c r="E698" s="36"/>
      <c r="F698" s="36"/>
      <c r="G698" s="2"/>
      <c r="H698" s="2"/>
      <c r="I698" s="2"/>
      <c r="J698" s="2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</row>
    <row r="699" ht="15.75" customHeight="1">
      <c r="A699" s="36"/>
      <c r="B699" s="36"/>
      <c r="C699" s="2"/>
      <c r="D699" s="36"/>
      <c r="E699" s="36"/>
      <c r="F699" s="36"/>
      <c r="G699" s="2"/>
      <c r="H699" s="2"/>
      <c r="I699" s="2"/>
      <c r="J699" s="2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</row>
    <row r="700" ht="15.75" customHeight="1">
      <c r="A700" s="36"/>
      <c r="B700" s="36"/>
      <c r="C700" s="2"/>
      <c r="D700" s="36"/>
      <c r="E700" s="36"/>
      <c r="F700" s="36"/>
      <c r="G700" s="2"/>
      <c r="H700" s="2"/>
      <c r="I700" s="2"/>
      <c r="J700" s="2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</row>
    <row r="701" ht="15.75" customHeight="1">
      <c r="A701" s="36"/>
      <c r="B701" s="36"/>
      <c r="C701" s="2"/>
      <c r="D701" s="36"/>
      <c r="E701" s="36"/>
      <c r="F701" s="36"/>
      <c r="G701" s="2"/>
      <c r="H701" s="2"/>
      <c r="I701" s="2"/>
      <c r="J701" s="2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</row>
    <row r="702" ht="15.75" customHeight="1">
      <c r="A702" s="36"/>
      <c r="B702" s="36"/>
      <c r="C702" s="2"/>
      <c r="D702" s="36"/>
      <c r="E702" s="36"/>
      <c r="F702" s="36"/>
      <c r="G702" s="2"/>
      <c r="H702" s="2"/>
      <c r="I702" s="2"/>
      <c r="J702" s="2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</row>
    <row r="703" ht="15.75" customHeight="1">
      <c r="A703" s="36"/>
      <c r="B703" s="36"/>
      <c r="C703" s="2"/>
      <c r="D703" s="36"/>
      <c r="E703" s="36"/>
      <c r="F703" s="36"/>
      <c r="G703" s="2"/>
      <c r="H703" s="2"/>
      <c r="I703" s="2"/>
      <c r="J703" s="2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</row>
    <row r="704" ht="15.75" customHeight="1">
      <c r="A704" s="36"/>
      <c r="B704" s="36"/>
      <c r="C704" s="2"/>
      <c r="D704" s="36"/>
      <c r="E704" s="36"/>
      <c r="F704" s="36"/>
      <c r="G704" s="2"/>
      <c r="H704" s="2"/>
      <c r="I704" s="2"/>
      <c r="J704" s="2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</row>
    <row r="705" ht="15.75" customHeight="1">
      <c r="A705" s="36"/>
      <c r="B705" s="36"/>
      <c r="C705" s="2"/>
      <c r="D705" s="36"/>
      <c r="E705" s="36"/>
      <c r="F705" s="36"/>
      <c r="G705" s="2"/>
      <c r="H705" s="2"/>
      <c r="I705" s="2"/>
      <c r="J705" s="2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</row>
    <row r="706" ht="15.75" customHeight="1">
      <c r="A706" s="36"/>
      <c r="B706" s="36"/>
      <c r="C706" s="2"/>
      <c r="D706" s="36"/>
      <c r="E706" s="36"/>
      <c r="F706" s="36"/>
      <c r="G706" s="2"/>
      <c r="H706" s="2"/>
      <c r="I706" s="2"/>
      <c r="J706" s="2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</row>
    <row r="707" ht="15.75" customHeight="1">
      <c r="A707" s="36"/>
      <c r="B707" s="36"/>
      <c r="C707" s="2"/>
      <c r="D707" s="36"/>
      <c r="E707" s="36"/>
      <c r="F707" s="36"/>
      <c r="G707" s="2"/>
      <c r="H707" s="2"/>
      <c r="I707" s="2"/>
      <c r="J707" s="2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</row>
    <row r="708" ht="15.75" customHeight="1">
      <c r="A708" s="36"/>
      <c r="B708" s="36"/>
      <c r="C708" s="2"/>
      <c r="D708" s="36"/>
      <c r="E708" s="36"/>
      <c r="F708" s="36"/>
      <c r="G708" s="2"/>
      <c r="H708" s="2"/>
      <c r="I708" s="2"/>
      <c r="J708" s="2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</row>
    <row r="709" ht="15.75" customHeight="1">
      <c r="A709" s="36"/>
      <c r="B709" s="36"/>
      <c r="C709" s="2"/>
      <c r="D709" s="36"/>
      <c r="E709" s="36"/>
      <c r="F709" s="36"/>
      <c r="G709" s="2"/>
      <c r="H709" s="2"/>
      <c r="I709" s="2"/>
      <c r="J709" s="2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</row>
    <row r="710" ht="15.75" customHeight="1">
      <c r="A710" s="36"/>
      <c r="B710" s="36"/>
      <c r="C710" s="2"/>
      <c r="D710" s="36"/>
      <c r="E710" s="36"/>
      <c r="F710" s="36"/>
      <c r="G710" s="2"/>
      <c r="H710" s="2"/>
      <c r="I710" s="2"/>
      <c r="J710" s="2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</row>
    <row r="711" ht="15.75" customHeight="1">
      <c r="A711" s="36"/>
      <c r="B711" s="36"/>
      <c r="C711" s="2"/>
      <c r="D711" s="36"/>
      <c r="E711" s="36"/>
      <c r="F711" s="36"/>
      <c r="G711" s="2"/>
      <c r="H711" s="2"/>
      <c r="I711" s="2"/>
      <c r="J711" s="2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</row>
    <row r="712" ht="15.75" customHeight="1">
      <c r="A712" s="36"/>
      <c r="B712" s="36"/>
      <c r="C712" s="2"/>
      <c r="D712" s="36"/>
      <c r="E712" s="36"/>
      <c r="F712" s="36"/>
      <c r="G712" s="2"/>
      <c r="H712" s="2"/>
      <c r="I712" s="2"/>
      <c r="J712" s="2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</row>
    <row r="713" ht="15.75" customHeight="1">
      <c r="A713" s="36"/>
      <c r="B713" s="36"/>
      <c r="C713" s="2"/>
      <c r="D713" s="36"/>
      <c r="E713" s="36"/>
      <c r="F713" s="36"/>
      <c r="G713" s="2"/>
      <c r="H713" s="2"/>
      <c r="I713" s="2"/>
      <c r="J713" s="2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</row>
    <row r="714" ht="15.75" customHeight="1">
      <c r="A714" s="36"/>
      <c r="B714" s="36"/>
      <c r="C714" s="2"/>
      <c r="D714" s="36"/>
      <c r="E714" s="36"/>
      <c r="F714" s="36"/>
      <c r="G714" s="2"/>
      <c r="H714" s="2"/>
      <c r="I714" s="2"/>
      <c r="J714" s="2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</row>
    <row r="715" ht="15.75" customHeight="1">
      <c r="A715" s="36"/>
      <c r="B715" s="36"/>
      <c r="C715" s="2"/>
      <c r="D715" s="36"/>
      <c r="E715" s="36"/>
      <c r="F715" s="36"/>
      <c r="G715" s="2"/>
      <c r="H715" s="2"/>
      <c r="I715" s="2"/>
      <c r="J715" s="2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</row>
    <row r="716" ht="15.75" customHeight="1">
      <c r="A716" s="36"/>
      <c r="B716" s="36"/>
      <c r="C716" s="2"/>
      <c r="D716" s="36"/>
      <c r="E716" s="36"/>
      <c r="F716" s="36"/>
      <c r="G716" s="2"/>
      <c r="H716" s="2"/>
      <c r="I716" s="2"/>
      <c r="J716" s="2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</row>
    <row r="717" ht="15.75" customHeight="1">
      <c r="A717" s="36"/>
      <c r="B717" s="36"/>
      <c r="C717" s="2"/>
      <c r="D717" s="36"/>
      <c r="E717" s="36"/>
      <c r="F717" s="36"/>
      <c r="G717" s="2"/>
      <c r="H717" s="2"/>
      <c r="I717" s="2"/>
      <c r="J717" s="2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</row>
    <row r="718" ht="15.75" customHeight="1">
      <c r="A718" s="36"/>
      <c r="B718" s="36"/>
      <c r="C718" s="2"/>
      <c r="D718" s="36"/>
      <c r="E718" s="36"/>
      <c r="F718" s="36"/>
      <c r="G718" s="2"/>
      <c r="H718" s="2"/>
      <c r="I718" s="2"/>
      <c r="J718" s="2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</row>
    <row r="719" ht="15.75" customHeight="1">
      <c r="A719" s="36"/>
      <c r="B719" s="36"/>
      <c r="C719" s="2"/>
      <c r="D719" s="36"/>
      <c r="E719" s="36"/>
      <c r="F719" s="36"/>
      <c r="G719" s="2"/>
      <c r="H719" s="2"/>
      <c r="I719" s="2"/>
      <c r="J719" s="2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</row>
    <row r="720" ht="15.75" customHeight="1">
      <c r="A720" s="36"/>
      <c r="B720" s="36"/>
      <c r="C720" s="2"/>
      <c r="D720" s="36"/>
      <c r="E720" s="36"/>
      <c r="F720" s="36"/>
      <c r="G720" s="2"/>
      <c r="H720" s="2"/>
      <c r="I720" s="2"/>
      <c r="J720" s="2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</row>
    <row r="721" ht="15.75" customHeight="1">
      <c r="A721" s="36"/>
      <c r="B721" s="36"/>
      <c r="C721" s="2"/>
      <c r="D721" s="36"/>
      <c r="E721" s="36"/>
      <c r="F721" s="36"/>
      <c r="G721" s="2"/>
      <c r="H721" s="2"/>
      <c r="I721" s="2"/>
      <c r="J721" s="2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</row>
    <row r="722" ht="15.75" customHeight="1">
      <c r="A722" s="36"/>
      <c r="B722" s="36"/>
      <c r="C722" s="2"/>
      <c r="D722" s="36"/>
      <c r="E722" s="36"/>
      <c r="F722" s="36"/>
      <c r="G722" s="2"/>
      <c r="H722" s="2"/>
      <c r="I722" s="2"/>
      <c r="J722" s="2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</row>
    <row r="723" ht="15.75" customHeight="1">
      <c r="A723" s="36"/>
      <c r="B723" s="36"/>
      <c r="C723" s="2"/>
      <c r="D723" s="36"/>
      <c r="E723" s="36"/>
      <c r="F723" s="36"/>
      <c r="G723" s="2"/>
      <c r="H723" s="2"/>
      <c r="I723" s="2"/>
      <c r="J723" s="2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</row>
    <row r="724" ht="15.75" customHeight="1">
      <c r="A724" s="36"/>
      <c r="B724" s="36"/>
      <c r="C724" s="2"/>
      <c r="D724" s="36"/>
      <c r="E724" s="36"/>
      <c r="F724" s="36"/>
      <c r="G724" s="2"/>
      <c r="H724" s="2"/>
      <c r="I724" s="2"/>
      <c r="J724" s="2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</row>
    <row r="725" ht="15.75" customHeight="1">
      <c r="A725" s="36"/>
      <c r="B725" s="36"/>
      <c r="C725" s="2"/>
      <c r="D725" s="36"/>
      <c r="E725" s="36"/>
      <c r="F725" s="36"/>
      <c r="G725" s="2"/>
      <c r="H725" s="2"/>
      <c r="I725" s="2"/>
      <c r="J725" s="2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</row>
    <row r="726" ht="15.75" customHeight="1">
      <c r="A726" s="36"/>
      <c r="B726" s="36"/>
      <c r="C726" s="2"/>
      <c r="D726" s="36"/>
      <c r="E726" s="36"/>
      <c r="F726" s="36"/>
      <c r="G726" s="2"/>
      <c r="H726" s="2"/>
      <c r="I726" s="2"/>
      <c r="J726" s="2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</row>
    <row r="727" ht="15.75" customHeight="1">
      <c r="A727" s="36"/>
      <c r="B727" s="36"/>
      <c r="C727" s="2"/>
      <c r="D727" s="36"/>
      <c r="E727" s="36"/>
      <c r="F727" s="36"/>
      <c r="G727" s="2"/>
      <c r="H727" s="2"/>
      <c r="I727" s="2"/>
      <c r="J727" s="2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</row>
    <row r="728" ht="15.75" customHeight="1">
      <c r="A728" s="36"/>
      <c r="B728" s="36"/>
      <c r="C728" s="2"/>
      <c r="D728" s="36"/>
      <c r="E728" s="36"/>
      <c r="F728" s="36"/>
      <c r="G728" s="2"/>
      <c r="H728" s="2"/>
      <c r="I728" s="2"/>
      <c r="J728" s="2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</row>
    <row r="729" ht="15.75" customHeight="1">
      <c r="A729" s="36"/>
      <c r="B729" s="36"/>
      <c r="C729" s="2"/>
      <c r="D729" s="36"/>
      <c r="E729" s="36"/>
      <c r="F729" s="36"/>
      <c r="G729" s="2"/>
      <c r="H729" s="2"/>
      <c r="I729" s="2"/>
      <c r="J729" s="2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</row>
    <row r="730" ht="15.75" customHeight="1">
      <c r="A730" s="36"/>
      <c r="B730" s="36"/>
      <c r="C730" s="2"/>
      <c r="D730" s="36"/>
      <c r="E730" s="36"/>
      <c r="F730" s="36"/>
      <c r="G730" s="2"/>
      <c r="H730" s="2"/>
      <c r="I730" s="2"/>
      <c r="J730" s="2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</row>
    <row r="731" ht="15.75" customHeight="1">
      <c r="A731" s="36"/>
      <c r="B731" s="36"/>
      <c r="C731" s="2"/>
      <c r="D731" s="36"/>
      <c r="E731" s="36"/>
      <c r="F731" s="36"/>
      <c r="G731" s="2"/>
      <c r="H731" s="2"/>
      <c r="I731" s="2"/>
      <c r="J731" s="2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</row>
    <row r="732" ht="15.75" customHeight="1">
      <c r="A732" s="36"/>
      <c r="B732" s="36"/>
      <c r="C732" s="2"/>
      <c r="D732" s="36"/>
      <c r="E732" s="36"/>
      <c r="F732" s="36"/>
      <c r="G732" s="2"/>
      <c r="H732" s="2"/>
      <c r="I732" s="2"/>
      <c r="J732" s="2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</row>
    <row r="733" ht="15.75" customHeight="1">
      <c r="A733" s="36"/>
      <c r="B733" s="36"/>
      <c r="C733" s="2"/>
      <c r="D733" s="36"/>
      <c r="E733" s="36"/>
      <c r="F733" s="36"/>
      <c r="G733" s="2"/>
      <c r="H733" s="2"/>
      <c r="I733" s="2"/>
      <c r="J733" s="2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</row>
    <row r="734" ht="15.75" customHeight="1">
      <c r="A734" s="36"/>
      <c r="B734" s="36"/>
      <c r="C734" s="2"/>
      <c r="D734" s="36"/>
      <c r="E734" s="36"/>
      <c r="F734" s="36"/>
      <c r="G734" s="2"/>
      <c r="H734" s="2"/>
      <c r="I734" s="2"/>
      <c r="J734" s="2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</row>
    <row r="735" ht="15.75" customHeight="1">
      <c r="A735" s="36"/>
      <c r="B735" s="36"/>
      <c r="C735" s="2"/>
      <c r="D735" s="36"/>
      <c r="E735" s="36"/>
      <c r="F735" s="36"/>
      <c r="G735" s="2"/>
      <c r="H735" s="2"/>
      <c r="I735" s="2"/>
      <c r="J735" s="2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</row>
    <row r="736" ht="15.75" customHeight="1">
      <c r="A736" s="36"/>
      <c r="B736" s="36"/>
      <c r="C736" s="2"/>
      <c r="D736" s="36"/>
      <c r="E736" s="36"/>
      <c r="F736" s="36"/>
      <c r="G736" s="2"/>
      <c r="H736" s="2"/>
      <c r="I736" s="2"/>
      <c r="J736" s="2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</row>
    <row r="737" ht="15.75" customHeight="1">
      <c r="A737" s="36"/>
      <c r="B737" s="36"/>
      <c r="C737" s="2"/>
      <c r="D737" s="36"/>
      <c r="E737" s="36"/>
      <c r="F737" s="36"/>
      <c r="G737" s="2"/>
      <c r="H737" s="2"/>
      <c r="I737" s="2"/>
      <c r="J737" s="2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</row>
    <row r="738" ht="15.75" customHeight="1">
      <c r="A738" s="36"/>
      <c r="B738" s="36"/>
      <c r="C738" s="2"/>
      <c r="D738" s="36"/>
      <c r="E738" s="36"/>
      <c r="F738" s="36"/>
      <c r="G738" s="2"/>
      <c r="H738" s="2"/>
      <c r="I738" s="2"/>
      <c r="J738" s="2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</row>
    <row r="739" ht="15.75" customHeight="1">
      <c r="A739" s="36"/>
      <c r="B739" s="36"/>
      <c r="C739" s="2"/>
      <c r="D739" s="36"/>
      <c r="E739" s="36"/>
      <c r="F739" s="36"/>
      <c r="G739" s="2"/>
      <c r="H739" s="2"/>
      <c r="I739" s="2"/>
      <c r="J739" s="2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</row>
    <row r="740" ht="15.75" customHeight="1">
      <c r="A740" s="36"/>
      <c r="B740" s="36"/>
      <c r="C740" s="2"/>
      <c r="D740" s="36"/>
      <c r="E740" s="36"/>
      <c r="F740" s="36"/>
      <c r="G740" s="2"/>
      <c r="H740" s="2"/>
      <c r="I740" s="2"/>
      <c r="J740" s="2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</row>
    <row r="741" ht="15.75" customHeight="1">
      <c r="A741" s="36"/>
      <c r="B741" s="36"/>
      <c r="C741" s="2"/>
      <c r="D741" s="36"/>
      <c r="E741" s="36"/>
      <c r="F741" s="36"/>
      <c r="G741" s="2"/>
      <c r="H741" s="2"/>
      <c r="I741" s="2"/>
      <c r="J741" s="2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</row>
    <row r="742" ht="15.75" customHeight="1">
      <c r="A742" s="36"/>
      <c r="B742" s="36"/>
      <c r="C742" s="2"/>
      <c r="D742" s="36"/>
      <c r="E742" s="36"/>
      <c r="F742" s="36"/>
      <c r="G742" s="2"/>
      <c r="H742" s="2"/>
      <c r="I742" s="2"/>
      <c r="J742" s="2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</row>
    <row r="743" ht="15.75" customHeight="1">
      <c r="A743" s="36"/>
      <c r="B743" s="36"/>
      <c r="C743" s="2"/>
      <c r="D743" s="36"/>
      <c r="E743" s="36"/>
      <c r="F743" s="36"/>
      <c r="G743" s="2"/>
      <c r="H743" s="2"/>
      <c r="I743" s="2"/>
      <c r="J743" s="2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</row>
    <row r="744" ht="15.75" customHeight="1">
      <c r="A744" s="36"/>
      <c r="B744" s="36"/>
      <c r="C744" s="2"/>
      <c r="D744" s="36"/>
      <c r="E744" s="36"/>
      <c r="F744" s="36"/>
      <c r="G744" s="2"/>
      <c r="H744" s="2"/>
      <c r="I744" s="2"/>
      <c r="J744" s="2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</row>
    <row r="745" ht="15.75" customHeight="1">
      <c r="A745" s="36"/>
      <c r="B745" s="36"/>
      <c r="C745" s="2"/>
      <c r="D745" s="36"/>
      <c r="E745" s="36"/>
      <c r="F745" s="36"/>
      <c r="G745" s="2"/>
      <c r="H745" s="2"/>
      <c r="I745" s="2"/>
      <c r="J745" s="2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</row>
    <row r="746" ht="15.75" customHeight="1">
      <c r="A746" s="36"/>
      <c r="B746" s="36"/>
      <c r="C746" s="2"/>
      <c r="D746" s="36"/>
      <c r="E746" s="36"/>
      <c r="F746" s="36"/>
      <c r="G746" s="2"/>
      <c r="H746" s="2"/>
      <c r="I746" s="2"/>
      <c r="J746" s="2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</row>
    <row r="747" ht="15.75" customHeight="1">
      <c r="A747" s="36"/>
      <c r="B747" s="36"/>
      <c r="C747" s="2"/>
      <c r="D747" s="36"/>
      <c r="E747" s="36"/>
      <c r="F747" s="36"/>
      <c r="G747" s="2"/>
      <c r="H747" s="2"/>
      <c r="I747" s="2"/>
      <c r="J747" s="2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</row>
    <row r="748" ht="15.75" customHeight="1">
      <c r="A748" s="36"/>
      <c r="B748" s="36"/>
      <c r="C748" s="2"/>
      <c r="D748" s="36"/>
      <c r="E748" s="36"/>
      <c r="F748" s="36"/>
      <c r="G748" s="2"/>
      <c r="H748" s="2"/>
      <c r="I748" s="2"/>
      <c r="J748" s="2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</row>
    <row r="749" ht="15.75" customHeight="1">
      <c r="A749" s="36"/>
      <c r="B749" s="36"/>
      <c r="C749" s="2"/>
      <c r="D749" s="36"/>
      <c r="E749" s="36"/>
      <c r="F749" s="36"/>
      <c r="G749" s="2"/>
      <c r="H749" s="2"/>
      <c r="I749" s="2"/>
      <c r="J749" s="2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</row>
    <row r="750" ht="15.75" customHeight="1">
      <c r="A750" s="36"/>
      <c r="B750" s="36"/>
      <c r="C750" s="2"/>
      <c r="D750" s="36"/>
      <c r="E750" s="36"/>
      <c r="F750" s="36"/>
      <c r="G750" s="2"/>
      <c r="H750" s="2"/>
      <c r="I750" s="2"/>
      <c r="J750" s="2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</row>
    <row r="751" ht="15.75" customHeight="1">
      <c r="A751" s="36"/>
      <c r="B751" s="36"/>
      <c r="C751" s="2"/>
      <c r="D751" s="36"/>
      <c r="E751" s="36"/>
      <c r="F751" s="36"/>
      <c r="G751" s="2"/>
      <c r="H751" s="2"/>
      <c r="I751" s="2"/>
      <c r="J751" s="2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</row>
    <row r="752" ht="15.75" customHeight="1">
      <c r="A752" s="36"/>
      <c r="B752" s="36"/>
      <c r="C752" s="2"/>
      <c r="D752" s="36"/>
      <c r="E752" s="36"/>
      <c r="F752" s="36"/>
      <c r="G752" s="2"/>
      <c r="H752" s="2"/>
      <c r="I752" s="2"/>
      <c r="J752" s="2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</row>
    <row r="753" ht="15.75" customHeight="1">
      <c r="A753" s="36"/>
      <c r="B753" s="36"/>
      <c r="C753" s="2"/>
      <c r="D753" s="36"/>
      <c r="E753" s="36"/>
      <c r="F753" s="36"/>
      <c r="G753" s="2"/>
      <c r="H753" s="2"/>
      <c r="I753" s="2"/>
      <c r="J753" s="2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</row>
    <row r="754" ht="15.75" customHeight="1">
      <c r="A754" s="36"/>
      <c r="B754" s="36"/>
      <c r="C754" s="2"/>
      <c r="D754" s="36"/>
      <c r="E754" s="36"/>
      <c r="F754" s="36"/>
      <c r="G754" s="2"/>
      <c r="H754" s="2"/>
      <c r="I754" s="2"/>
      <c r="J754" s="2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</row>
    <row r="755" ht="15.75" customHeight="1">
      <c r="A755" s="36"/>
      <c r="B755" s="36"/>
      <c r="C755" s="2"/>
      <c r="D755" s="36"/>
      <c r="E755" s="36"/>
      <c r="F755" s="36"/>
      <c r="G755" s="2"/>
      <c r="H755" s="2"/>
      <c r="I755" s="2"/>
      <c r="J755" s="2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</row>
    <row r="756" ht="15.75" customHeight="1">
      <c r="A756" s="36"/>
      <c r="B756" s="36"/>
      <c r="C756" s="2"/>
      <c r="D756" s="36"/>
      <c r="E756" s="36"/>
      <c r="F756" s="36"/>
      <c r="G756" s="2"/>
      <c r="H756" s="2"/>
      <c r="I756" s="2"/>
      <c r="J756" s="2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</row>
    <row r="757" ht="15.75" customHeight="1">
      <c r="A757" s="36"/>
      <c r="B757" s="36"/>
      <c r="C757" s="2"/>
      <c r="D757" s="36"/>
      <c r="E757" s="36"/>
      <c r="F757" s="36"/>
      <c r="G757" s="2"/>
      <c r="H757" s="2"/>
      <c r="I757" s="2"/>
      <c r="J757" s="2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</row>
    <row r="758" ht="15.75" customHeight="1">
      <c r="A758" s="36"/>
      <c r="B758" s="36"/>
      <c r="C758" s="2"/>
      <c r="D758" s="36"/>
      <c r="E758" s="36"/>
      <c r="F758" s="36"/>
      <c r="G758" s="2"/>
      <c r="H758" s="2"/>
      <c r="I758" s="2"/>
      <c r="J758" s="2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</row>
    <row r="759" ht="15.75" customHeight="1">
      <c r="A759" s="36"/>
      <c r="B759" s="36"/>
      <c r="C759" s="2"/>
      <c r="D759" s="36"/>
      <c r="E759" s="36"/>
      <c r="F759" s="36"/>
      <c r="G759" s="2"/>
      <c r="H759" s="2"/>
      <c r="I759" s="2"/>
      <c r="J759" s="2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</row>
    <row r="760" ht="15.75" customHeight="1">
      <c r="A760" s="36"/>
      <c r="B760" s="36"/>
      <c r="C760" s="2"/>
      <c r="D760" s="36"/>
      <c r="E760" s="36"/>
      <c r="F760" s="36"/>
      <c r="G760" s="2"/>
      <c r="H760" s="2"/>
      <c r="I760" s="2"/>
      <c r="J760" s="2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</row>
    <row r="761" ht="15.75" customHeight="1">
      <c r="A761" s="36"/>
      <c r="B761" s="36"/>
      <c r="C761" s="2"/>
      <c r="D761" s="36"/>
      <c r="E761" s="36"/>
      <c r="F761" s="36"/>
      <c r="G761" s="2"/>
      <c r="H761" s="2"/>
      <c r="I761" s="2"/>
      <c r="J761" s="2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</row>
    <row r="762" ht="15.75" customHeight="1">
      <c r="A762" s="36"/>
      <c r="B762" s="36"/>
      <c r="C762" s="2"/>
      <c r="D762" s="36"/>
      <c r="E762" s="36"/>
      <c r="F762" s="36"/>
      <c r="G762" s="2"/>
      <c r="H762" s="2"/>
      <c r="I762" s="2"/>
      <c r="J762" s="2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</row>
    <row r="763" ht="15.75" customHeight="1">
      <c r="A763" s="36"/>
      <c r="B763" s="36"/>
      <c r="C763" s="2"/>
      <c r="D763" s="36"/>
      <c r="E763" s="36"/>
      <c r="F763" s="36"/>
      <c r="G763" s="2"/>
      <c r="H763" s="2"/>
      <c r="I763" s="2"/>
      <c r="J763" s="2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</row>
    <row r="764" ht="15.75" customHeight="1">
      <c r="A764" s="36"/>
      <c r="B764" s="36"/>
      <c r="C764" s="2"/>
      <c r="D764" s="36"/>
      <c r="E764" s="36"/>
      <c r="F764" s="36"/>
      <c r="G764" s="2"/>
      <c r="H764" s="2"/>
      <c r="I764" s="2"/>
      <c r="J764" s="2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</row>
    <row r="765" ht="15.75" customHeight="1">
      <c r="A765" s="36"/>
      <c r="B765" s="36"/>
      <c r="C765" s="2"/>
      <c r="D765" s="36"/>
      <c r="E765" s="36"/>
      <c r="F765" s="36"/>
      <c r="G765" s="2"/>
      <c r="H765" s="2"/>
      <c r="I765" s="2"/>
      <c r="J765" s="2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</row>
    <row r="766" ht="15.75" customHeight="1">
      <c r="A766" s="36"/>
      <c r="B766" s="36"/>
      <c r="C766" s="2"/>
      <c r="D766" s="36"/>
      <c r="E766" s="36"/>
      <c r="F766" s="36"/>
      <c r="G766" s="2"/>
      <c r="H766" s="2"/>
      <c r="I766" s="2"/>
      <c r="J766" s="2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</row>
    <row r="767" ht="15.75" customHeight="1">
      <c r="A767" s="36"/>
      <c r="B767" s="36"/>
      <c r="C767" s="2"/>
      <c r="D767" s="36"/>
      <c r="E767" s="36"/>
      <c r="F767" s="36"/>
      <c r="G767" s="2"/>
      <c r="H767" s="2"/>
      <c r="I767" s="2"/>
      <c r="J767" s="2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</row>
    <row r="768" ht="15.75" customHeight="1">
      <c r="A768" s="36"/>
      <c r="B768" s="36"/>
      <c r="C768" s="2"/>
      <c r="D768" s="36"/>
      <c r="E768" s="36"/>
      <c r="F768" s="36"/>
      <c r="G768" s="2"/>
      <c r="H768" s="2"/>
      <c r="I768" s="2"/>
      <c r="J768" s="2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</row>
    <row r="769" ht="15.75" customHeight="1">
      <c r="A769" s="36"/>
      <c r="B769" s="36"/>
      <c r="C769" s="2"/>
      <c r="D769" s="36"/>
      <c r="E769" s="36"/>
      <c r="F769" s="36"/>
      <c r="G769" s="2"/>
      <c r="H769" s="2"/>
      <c r="I769" s="2"/>
      <c r="J769" s="2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</row>
    <row r="770" ht="15.75" customHeight="1">
      <c r="A770" s="36"/>
      <c r="B770" s="36"/>
      <c r="C770" s="2"/>
      <c r="D770" s="36"/>
      <c r="E770" s="36"/>
      <c r="F770" s="36"/>
      <c r="G770" s="2"/>
      <c r="H770" s="2"/>
      <c r="I770" s="2"/>
      <c r="J770" s="2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</row>
    <row r="771" ht="15.75" customHeight="1">
      <c r="A771" s="36"/>
      <c r="B771" s="36"/>
      <c r="C771" s="2"/>
      <c r="D771" s="36"/>
      <c r="E771" s="36"/>
      <c r="F771" s="36"/>
      <c r="G771" s="2"/>
      <c r="H771" s="2"/>
      <c r="I771" s="2"/>
      <c r="J771" s="2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</row>
    <row r="772" ht="15.75" customHeight="1">
      <c r="A772" s="36"/>
      <c r="B772" s="36"/>
      <c r="C772" s="2"/>
      <c r="D772" s="36"/>
      <c r="E772" s="36"/>
      <c r="F772" s="36"/>
      <c r="G772" s="2"/>
      <c r="H772" s="2"/>
      <c r="I772" s="2"/>
      <c r="J772" s="2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</row>
    <row r="773" ht="15.75" customHeight="1">
      <c r="A773" s="36"/>
      <c r="B773" s="36"/>
      <c r="C773" s="2"/>
      <c r="D773" s="36"/>
      <c r="E773" s="36"/>
      <c r="F773" s="36"/>
      <c r="G773" s="2"/>
      <c r="H773" s="2"/>
      <c r="I773" s="2"/>
      <c r="J773" s="2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</row>
    <row r="774" ht="15.75" customHeight="1">
      <c r="A774" s="36"/>
      <c r="B774" s="36"/>
      <c r="C774" s="2"/>
      <c r="D774" s="36"/>
      <c r="E774" s="36"/>
      <c r="F774" s="36"/>
      <c r="G774" s="2"/>
      <c r="H774" s="2"/>
      <c r="I774" s="2"/>
      <c r="J774" s="2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</row>
    <row r="775" ht="15.75" customHeight="1">
      <c r="A775" s="36"/>
      <c r="B775" s="36"/>
      <c r="C775" s="2"/>
      <c r="D775" s="36"/>
      <c r="E775" s="36"/>
      <c r="F775" s="36"/>
      <c r="G775" s="2"/>
      <c r="H775" s="2"/>
      <c r="I775" s="2"/>
      <c r="J775" s="2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</row>
    <row r="776" ht="15.75" customHeight="1">
      <c r="A776" s="36"/>
      <c r="B776" s="36"/>
      <c r="C776" s="2"/>
      <c r="D776" s="36"/>
      <c r="E776" s="36"/>
      <c r="F776" s="36"/>
      <c r="G776" s="2"/>
      <c r="H776" s="2"/>
      <c r="I776" s="2"/>
      <c r="J776" s="2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</row>
    <row r="777" ht="15.75" customHeight="1">
      <c r="A777" s="36"/>
      <c r="B777" s="36"/>
      <c r="C777" s="2"/>
      <c r="D777" s="36"/>
      <c r="E777" s="36"/>
      <c r="F777" s="36"/>
      <c r="G777" s="2"/>
      <c r="H777" s="2"/>
      <c r="I777" s="2"/>
      <c r="J777" s="2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</row>
    <row r="778" ht="15.75" customHeight="1">
      <c r="A778" s="36"/>
      <c r="B778" s="36"/>
      <c r="C778" s="2"/>
      <c r="D778" s="36"/>
      <c r="E778" s="36"/>
      <c r="F778" s="36"/>
      <c r="G778" s="2"/>
      <c r="H778" s="2"/>
      <c r="I778" s="2"/>
      <c r="J778" s="2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</row>
    <row r="779" ht="15.75" customHeight="1">
      <c r="A779" s="36"/>
      <c r="B779" s="36"/>
      <c r="C779" s="2"/>
      <c r="D779" s="36"/>
      <c r="E779" s="36"/>
      <c r="F779" s="36"/>
      <c r="G779" s="2"/>
      <c r="H779" s="2"/>
      <c r="I779" s="2"/>
      <c r="J779" s="2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</row>
    <row r="780" ht="15.75" customHeight="1">
      <c r="A780" s="36"/>
      <c r="B780" s="36"/>
      <c r="C780" s="2"/>
      <c r="D780" s="36"/>
      <c r="E780" s="36"/>
      <c r="F780" s="36"/>
      <c r="G780" s="2"/>
      <c r="H780" s="2"/>
      <c r="I780" s="2"/>
      <c r="J780" s="2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</row>
    <row r="781" ht="15.75" customHeight="1">
      <c r="A781" s="36"/>
      <c r="B781" s="36"/>
      <c r="C781" s="2"/>
      <c r="D781" s="36"/>
      <c r="E781" s="36"/>
      <c r="F781" s="36"/>
      <c r="G781" s="2"/>
      <c r="H781" s="2"/>
      <c r="I781" s="2"/>
      <c r="J781" s="2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</row>
    <row r="782" ht="15.75" customHeight="1">
      <c r="A782" s="36"/>
      <c r="B782" s="36"/>
      <c r="C782" s="2"/>
      <c r="D782" s="36"/>
      <c r="E782" s="36"/>
      <c r="F782" s="36"/>
      <c r="G782" s="2"/>
      <c r="H782" s="2"/>
      <c r="I782" s="2"/>
      <c r="J782" s="2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</row>
    <row r="783" ht="15.75" customHeight="1">
      <c r="A783" s="36"/>
      <c r="B783" s="36"/>
      <c r="C783" s="2"/>
      <c r="D783" s="36"/>
      <c r="E783" s="36"/>
      <c r="F783" s="36"/>
      <c r="G783" s="2"/>
      <c r="H783" s="2"/>
      <c r="I783" s="2"/>
      <c r="J783" s="2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</row>
    <row r="784" ht="15.75" customHeight="1">
      <c r="A784" s="36"/>
      <c r="B784" s="36"/>
      <c r="C784" s="2"/>
      <c r="D784" s="36"/>
      <c r="E784" s="36"/>
      <c r="F784" s="36"/>
      <c r="G784" s="2"/>
      <c r="H784" s="2"/>
      <c r="I784" s="2"/>
      <c r="J784" s="2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</row>
    <row r="785" ht="15.75" customHeight="1">
      <c r="A785" s="36"/>
      <c r="B785" s="36"/>
      <c r="C785" s="2"/>
      <c r="D785" s="36"/>
      <c r="E785" s="36"/>
      <c r="F785" s="36"/>
      <c r="G785" s="2"/>
      <c r="H785" s="2"/>
      <c r="I785" s="2"/>
      <c r="J785" s="2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</row>
    <row r="786" ht="15.75" customHeight="1">
      <c r="A786" s="36"/>
      <c r="B786" s="36"/>
      <c r="C786" s="2"/>
      <c r="D786" s="36"/>
      <c r="E786" s="36"/>
      <c r="F786" s="36"/>
      <c r="G786" s="2"/>
      <c r="H786" s="2"/>
      <c r="I786" s="2"/>
      <c r="J786" s="2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</row>
    <row r="787" ht="15.75" customHeight="1">
      <c r="A787" s="36"/>
      <c r="B787" s="36"/>
      <c r="C787" s="2"/>
      <c r="D787" s="36"/>
      <c r="E787" s="36"/>
      <c r="F787" s="36"/>
      <c r="G787" s="2"/>
      <c r="H787" s="2"/>
      <c r="I787" s="2"/>
      <c r="J787" s="2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</row>
    <row r="788" ht="15.75" customHeight="1">
      <c r="A788" s="36"/>
      <c r="B788" s="36"/>
      <c r="C788" s="2"/>
      <c r="D788" s="36"/>
      <c r="E788" s="36"/>
      <c r="F788" s="36"/>
      <c r="G788" s="2"/>
      <c r="H788" s="2"/>
      <c r="I788" s="2"/>
      <c r="J788" s="2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</row>
    <row r="789" ht="15.75" customHeight="1">
      <c r="A789" s="36"/>
      <c r="B789" s="36"/>
      <c r="C789" s="2"/>
      <c r="D789" s="36"/>
      <c r="E789" s="36"/>
      <c r="F789" s="36"/>
      <c r="G789" s="2"/>
      <c r="H789" s="2"/>
      <c r="I789" s="2"/>
      <c r="J789" s="2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</row>
    <row r="790" ht="15.75" customHeight="1">
      <c r="A790" s="36"/>
      <c r="B790" s="36"/>
      <c r="C790" s="2"/>
      <c r="D790" s="36"/>
      <c r="E790" s="36"/>
      <c r="F790" s="36"/>
      <c r="G790" s="2"/>
      <c r="H790" s="2"/>
      <c r="I790" s="2"/>
      <c r="J790" s="2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</row>
    <row r="791" ht="15.75" customHeight="1">
      <c r="A791" s="36"/>
      <c r="B791" s="36"/>
      <c r="C791" s="2"/>
      <c r="D791" s="36"/>
      <c r="E791" s="36"/>
      <c r="F791" s="36"/>
      <c r="G791" s="2"/>
      <c r="H791" s="2"/>
      <c r="I791" s="2"/>
      <c r="J791" s="2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</row>
    <row r="792" ht="15.75" customHeight="1">
      <c r="A792" s="36"/>
      <c r="B792" s="36"/>
      <c r="C792" s="2"/>
      <c r="D792" s="36"/>
      <c r="E792" s="36"/>
      <c r="F792" s="36"/>
      <c r="G792" s="2"/>
      <c r="H792" s="2"/>
      <c r="I792" s="2"/>
      <c r="J792" s="2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</row>
    <row r="793" ht="15.75" customHeight="1">
      <c r="A793" s="36"/>
      <c r="B793" s="36"/>
      <c r="C793" s="2"/>
      <c r="D793" s="36"/>
      <c r="E793" s="36"/>
      <c r="F793" s="36"/>
      <c r="G793" s="2"/>
      <c r="H793" s="2"/>
      <c r="I793" s="2"/>
      <c r="J793" s="2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</row>
    <row r="794" ht="15.75" customHeight="1">
      <c r="A794" s="36"/>
      <c r="B794" s="36"/>
      <c r="C794" s="2"/>
      <c r="D794" s="36"/>
      <c r="E794" s="36"/>
      <c r="F794" s="36"/>
      <c r="G794" s="2"/>
      <c r="H794" s="2"/>
      <c r="I794" s="2"/>
      <c r="J794" s="2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</row>
    <row r="795" ht="15.75" customHeight="1">
      <c r="A795" s="36"/>
      <c r="B795" s="36"/>
      <c r="C795" s="2"/>
      <c r="D795" s="36"/>
      <c r="E795" s="36"/>
      <c r="F795" s="36"/>
      <c r="G795" s="2"/>
      <c r="H795" s="2"/>
      <c r="I795" s="2"/>
      <c r="J795" s="2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</row>
    <row r="796" ht="15.75" customHeight="1">
      <c r="A796" s="36"/>
      <c r="B796" s="36"/>
      <c r="C796" s="2"/>
      <c r="D796" s="36"/>
      <c r="E796" s="36"/>
      <c r="F796" s="36"/>
      <c r="G796" s="2"/>
      <c r="H796" s="2"/>
      <c r="I796" s="2"/>
      <c r="J796" s="2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</row>
    <row r="797" ht="15.75" customHeight="1">
      <c r="A797" s="36"/>
      <c r="B797" s="36"/>
      <c r="C797" s="2"/>
      <c r="D797" s="36"/>
      <c r="E797" s="36"/>
      <c r="F797" s="36"/>
      <c r="G797" s="2"/>
      <c r="H797" s="2"/>
      <c r="I797" s="2"/>
      <c r="J797" s="2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</row>
    <row r="798" ht="15.75" customHeight="1">
      <c r="A798" s="36"/>
      <c r="B798" s="36"/>
      <c r="C798" s="2"/>
      <c r="D798" s="36"/>
      <c r="E798" s="36"/>
      <c r="F798" s="36"/>
      <c r="G798" s="2"/>
      <c r="H798" s="2"/>
      <c r="I798" s="2"/>
      <c r="J798" s="2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</row>
    <row r="799" ht="15.75" customHeight="1">
      <c r="A799" s="36"/>
      <c r="B799" s="36"/>
      <c r="C799" s="2"/>
      <c r="D799" s="36"/>
      <c r="E799" s="36"/>
      <c r="F799" s="36"/>
      <c r="G799" s="2"/>
      <c r="H799" s="2"/>
      <c r="I799" s="2"/>
      <c r="J799" s="2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</row>
    <row r="800" ht="15.75" customHeight="1">
      <c r="A800" s="36"/>
      <c r="B800" s="36"/>
      <c r="C800" s="2"/>
      <c r="D800" s="36"/>
      <c r="E800" s="36"/>
      <c r="F800" s="36"/>
      <c r="G800" s="2"/>
      <c r="H800" s="2"/>
      <c r="I800" s="2"/>
      <c r="J800" s="2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</row>
    <row r="801" ht="15.75" customHeight="1">
      <c r="A801" s="36"/>
      <c r="B801" s="36"/>
      <c r="C801" s="2"/>
      <c r="D801" s="36"/>
      <c r="E801" s="36"/>
      <c r="F801" s="36"/>
      <c r="G801" s="2"/>
      <c r="H801" s="2"/>
      <c r="I801" s="2"/>
      <c r="J801" s="2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</row>
    <row r="802" ht="15.75" customHeight="1">
      <c r="A802" s="36"/>
      <c r="B802" s="36"/>
      <c r="C802" s="2"/>
      <c r="D802" s="36"/>
      <c r="E802" s="36"/>
      <c r="F802" s="36"/>
      <c r="G802" s="2"/>
      <c r="H802" s="2"/>
      <c r="I802" s="2"/>
      <c r="J802" s="2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</row>
    <row r="803" ht="15.75" customHeight="1">
      <c r="A803" s="36"/>
      <c r="B803" s="36"/>
      <c r="C803" s="2"/>
      <c r="D803" s="36"/>
      <c r="E803" s="36"/>
      <c r="F803" s="36"/>
      <c r="G803" s="2"/>
      <c r="H803" s="2"/>
      <c r="I803" s="2"/>
      <c r="J803" s="2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</row>
    <row r="804" ht="15.75" customHeight="1">
      <c r="A804" s="36"/>
      <c r="B804" s="36"/>
      <c r="C804" s="2"/>
      <c r="D804" s="36"/>
      <c r="E804" s="36"/>
      <c r="F804" s="36"/>
      <c r="G804" s="2"/>
      <c r="H804" s="2"/>
      <c r="I804" s="2"/>
      <c r="J804" s="2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</row>
    <row r="805" ht="15.75" customHeight="1">
      <c r="A805" s="36"/>
      <c r="B805" s="36"/>
      <c r="C805" s="2"/>
      <c r="D805" s="36"/>
      <c r="E805" s="36"/>
      <c r="F805" s="36"/>
      <c r="G805" s="2"/>
      <c r="H805" s="2"/>
      <c r="I805" s="2"/>
      <c r="J805" s="2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</row>
    <row r="806" ht="15.75" customHeight="1">
      <c r="A806" s="36"/>
      <c r="B806" s="36"/>
      <c r="C806" s="2"/>
      <c r="D806" s="36"/>
      <c r="E806" s="36"/>
      <c r="F806" s="36"/>
      <c r="G806" s="2"/>
      <c r="H806" s="2"/>
      <c r="I806" s="2"/>
      <c r="J806" s="2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</row>
    <row r="807" ht="15.75" customHeight="1">
      <c r="A807" s="36"/>
      <c r="B807" s="36"/>
      <c r="C807" s="2"/>
      <c r="D807" s="36"/>
      <c r="E807" s="36"/>
      <c r="F807" s="36"/>
      <c r="G807" s="2"/>
      <c r="H807" s="2"/>
      <c r="I807" s="2"/>
      <c r="J807" s="2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</row>
    <row r="808" ht="15.75" customHeight="1">
      <c r="A808" s="36"/>
      <c r="B808" s="36"/>
      <c r="C808" s="2"/>
      <c r="D808" s="36"/>
      <c r="E808" s="36"/>
      <c r="F808" s="36"/>
      <c r="G808" s="2"/>
      <c r="H808" s="2"/>
      <c r="I808" s="2"/>
      <c r="J808" s="2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</row>
    <row r="809" ht="15.75" customHeight="1">
      <c r="A809" s="36"/>
      <c r="B809" s="36"/>
      <c r="C809" s="2"/>
      <c r="D809" s="36"/>
      <c r="E809" s="36"/>
      <c r="F809" s="36"/>
      <c r="G809" s="2"/>
      <c r="H809" s="2"/>
      <c r="I809" s="2"/>
      <c r="J809" s="2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</row>
    <row r="810" ht="15.75" customHeight="1">
      <c r="A810" s="36"/>
      <c r="B810" s="36"/>
      <c r="C810" s="2"/>
      <c r="D810" s="36"/>
      <c r="E810" s="36"/>
      <c r="F810" s="36"/>
      <c r="G810" s="2"/>
      <c r="H810" s="2"/>
      <c r="I810" s="2"/>
      <c r="J810" s="2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</row>
    <row r="811" ht="15.75" customHeight="1">
      <c r="A811" s="36"/>
      <c r="B811" s="36"/>
      <c r="C811" s="2"/>
      <c r="D811" s="36"/>
      <c r="E811" s="36"/>
      <c r="F811" s="36"/>
      <c r="G811" s="2"/>
      <c r="H811" s="2"/>
      <c r="I811" s="2"/>
      <c r="J811" s="2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</row>
    <row r="812" ht="15.75" customHeight="1">
      <c r="A812" s="36"/>
      <c r="B812" s="36"/>
      <c r="C812" s="2"/>
      <c r="D812" s="36"/>
      <c r="E812" s="36"/>
      <c r="F812" s="36"/>
      <c r="G812" s="2"/>
      <c r="H812" s="2"/>
      <c r="I812" s="2"/>
      <c r="J812" s="2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</row>
    <row r="813" ht="15.75" customHeight="1">
      <c r="A813" s="36"/>
      <c r="B813" s="36"/>
      <c r="C813" s="2"/>
      <c r="D813" s="36"/>
      <c r="E813" s="36"/>
      <c r="F813" s="36"/>
      <c r="G813" s="2"/>
      <c r="H813" s="2"/>
      <c r="I813" s="2"/>
      <c r="J813" s="2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</row>
    <row r="814" ht="15.75" customHeight="1">
      <c r="A814" s="36"/>
      <c r="B814" s="36"/>
      <c r="C814" s="2"/>
      <c r="D814" s="36"/>
      <c r="E814" s="36"/>
      <c r="F814" s="36"/>
      <c r="G814" s="2"/>
      <c r="H814" s="2"/>
      <c r="I814" s="2"/>
      <c r="J814" s="2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</row>
    <row r="815" ht="15.75" customHeight="1">
      <c r="A815" s="36"/>
      <c r="B815" s="36"/>
      <c r="C815" s="2"/>
      <c r="D815" s="36"/>
      <c r="E815" s="36"/>
      <c r="F815" s="36"/>
      <c r="G815" s="2"/>
      <c r="H815" s="2"/>
      <c r="I815" s="2"/>
      <c r="J815" s="2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</row>
    <row r="816" ht="15.75" customHeight="1">
      <c r="A816" s="36"/>
      <c r="B816" s="36"/>
      <c r="C816" s="2"/>
      <c r="D816" s="36"/>
      <c r="E816" s="36"/>
      <c r="F816" s="36"/>
      <c r="G816" s="2"/>
      <c r="H816" s="2"/>
      <c r="I816" s="2"/>
      <c r="J816" s="2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</row>
    <row r="817" ht="15.75" customHeight="1">
      <c r="A817" s="36"/>
      <c r="B817" s="36"/>
      <c r="C817" s="2"/>
      <c r="D817" s="36"/>
      <c r="E817" s="36"/>
      <c r="F817" s="36"/>
      <c r="G817" s="2"/>
      <c r="H817" s="2"/>
      <c r="I817" s="2"/>
      <c r="J817" s="2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</row>
    <row r="818" ht="15.75" customHeight="1">
      <c r="A818" s="36"/>
      <c r="B818" s="36"/>
      <c r="C818" s="2"/>
      <c r="D818" s="36"/>
      <c r="E818" s="36"/>
      <c r="F818" s="36"/>
      <c r="G818" s="2"/>
      <c r="H818" s="2"/>
      <c r="I818" s="2"/>
      <c r="J818" s="2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</row>
    <row r="819" ht="15.75" customHeight="1">
      <c r="A819" s="36"/>
      <c r="B819" s="36"/>
      <c r="C819" s="2"/>
      <c r="D819" s="36"/>
      <c r="E819" s="36"/>
      <c r="F819" s="36"/>
      <c r="G819" s="2"/>
      <c r="H819" s="2"/>
      <c r="I819" s="2"/>
      <c r="J819" s="2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</row>
    <row r="820" ht="15.75" customHeight="1">
      <c r="A820" s="36"/>
      <c r="B820" s="36"/>
      <c r="C820" s="2"/>
      <c r="D820" s="36"/>
      <c r="E820" s="36"/>
      <c r="F820" s="36"/>
      <c r="G820" s="2"/>
      <c r="H820" s="2"/>
      <c r="I820" s="2"/>
      <c r="J820" s="2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</row>
    <row r="821" ht="15.75" customHeight="1">
      <c r="A821" s="36"/>
      <c r="B821" s="36"/>
      <c r="C821" s="2"/>
      <c r="D821" s="36"/>
      <c r="E821" s="36"/>
      <c r="F821" s="36"/>
      <c r="G821" s="2"/>
      <c r="H821" s="2"/>
      <c r="I821" s="2"/>
      <c r="J821" s="2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</row>
    <row r="822" ht="15.75" customHeight="1">
      <c r="A822" s="36"/>
      <c r="B822" s="36"/>
      <c r="C822" s="2"/>
      <c r="D822" s="36"/>
      <c r="E822" s="36"/>
      <c r="F822" s="36"/>
      <c r="G822" s="2"/>
      <c r="H822" s="2"/>
      <c r="I822" s="2"/>
      <c r="J822" s="2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</row>
    <row r="823" ht="15.75" customHeight="1">
      <c r="A823" s="36"/>
      <c r="B823" s="36"/>
      <c r="C823" s="2"/>
      <c r="D823" s="36"/>
      <c r="E823" s="36"/>
      <c r="F823" s="36"/>
      <c r="G823" s="2"/>
      <c r="H823" s="2"/>
      <c r="I823" s="2"/>
      <c r="J823" s="2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</row>
    <row r="824" ht="15.75" customHeight="1">
      <c r="A824" s="36"/>
      <c r="B824" s="36"/>
      <c r="C824" s="2"/>
      <c r="D824" s="36"/>
      <c r="E824" s="36"/>
      <c r="F824" s="36"/>
      <c r="G824" s="2"/>
      <c r="H824" s="2"/>
      <c r="I824" s="2"/>
      <c r="J824" s="2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</row>
    <row r="825" ht="15.75" customHeight="1">
      <c r="A825" s="36"/>
      <c r="B825" s="36"/>
      <c r="C825" s="2"/>
      <c r="D825" s="36"/>
      <c r="E825" s="36"/>
      <c r="F825" s="36"/>
      <c r="G825" s="2"/>
      <c r="H825" s="2"/>
      <c r="I825" s="2"/>
      <c r="J825" s="2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</row>
    <row r="826" ht="15.75" customHeight="1">
      <c r="A826" s="36"/>
      <c r="B826" s="36"/>
      <c r="C826" s="2"/>
      <c r="D826" s="36"/>
      <c r="E826" s="36"/>
      <c r="F826" s="36"/>
      <c r="G826" s="2"/>
      <c r="H826" s="2"/>
      <c r="I826" s="2"/>
      <c r="J826" s="2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</row>
    <row r="827" ht="15.75" customHeight="1">
      <c r="A827" s="36"/>
      <c r="B827" s="36"/>
      <c r="C827" s="2"/>
      <c r="D827" s="36"/>
      <c r="E827" s="36"/>
      <c r="F827" s="36"/>
      <c r="G827" s="2"/>
      <c r="H827" s="2"/>
      <c r="I827" s="2"/>
      <c r="J827" s="2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</row>
    <row r="828" ht="15.75" customHeight="1">
      <c r="A828" s="36"/>
      <c r="B828" s="36"/>
      <c r="C828" s="2"/>
      <c r="D828" s="36"/>
      <c r="E828" s="36"/>
      <c r="F828" s="36"/>
      <c r="G828" s="2"/>
      <c r="H828" s="2"/>
      <c r="I828" s="2"/>
      <c r="J828" s="2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</row>
    <row r="829" ht="15.75" customHeight="1">
      <c r="A829" s="36"/>
      <c r="B829" s="36"/>
      <c r="C829" s="2"/>
      <c r="D829" s="36"/>
      <c r="E829" s="36"/>
      <c r="F829" s="36"/>
      <c r="G829" s="2"/>
      <c r="H829" s="2"/>
      <c r="I829" s="2"/>
      <c r="J829" s="2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</row>
    <row r="830" ht="15.75" customHeight="1">
      <c r="A830" s="36"/>
      <c r="B830" s="36"/>
      <c r="C830" s="2"/>
      <c r="D830" s="36"/>
      <c r="E830" s="36"/>
      <c r="F830" s="36"/>
      <c r="G830" s="2"/>
      <c r="H830" s="2"/>
      <c r="I830" s="2"/>
      <c r="J830" s="2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</row>
    <row r="831" ht="15.75" customHeight="1">
      <c r="A831" s="36"/>
      <c r="B831" s="36"/>
      <c r="C831" s="2"/>
      <c r="D831" s="36"/>
      <c r="E831" s="36"/>
      <c r="F831" s="36"/>
      <c r="G831" s="2"/>
      <c r="H831" s="2"/>
      <c r="I831" s="2"/>
      <c r="J831" s="2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</row>
    <row r="832" ht="15.75" customHeight="1">
      <c r="A832" s="36"/>
      <c r="B832" s="36"/>
      <c r="C832" s="2"/>
      <c r="D832" s="36"/>
      <c r="E832" s="36"/>
      <c r="F832" s="36"/>
      <c r="G832" s="2"/>
      <c r="H832" s="2"/>
      <c r="I832" s="2"/>
      <c r="J832" s="2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</row>
    <row r="833" ht="15.75" customHeight="1">
      <c r="A833" s="36"/>
      <c r="B833" s="36"/>
      <c r="C833" s="2"/>
      <c r="D833" s="36"/>
      <c r="E833" s="36"/>
      <c r="F833" s="36"/>
      <c r="G833" s="2"/>
      <c r="H833" s="2"/>
      <c r="I833" s="2"/>
      <c r="J833" s="2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</row>
    <row r="834" ht="15.75" customHeight="1">
      <c r="A834" s="36"/>
      <c r="B834" s="36"/>
      <c r="C834" s="2"/>
      <c r="D834" s="36"/>
      <c r="E834" s="36"/>
      <c r="F834" s="36"/>
      <c r="G834" s="2"/>
      <c r="H834" s="2"/>
      <c r="I834" s="2"/>
      <c r="J834" s="2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</row>
    <row r="835" ht="15.75" customHeight="1">
      <c r="A835" s="36"/>
      <c r="B835" s="36"/>
      <c r="C835" s="2"/>
      <c r="D835" s="36"/>
      <c r="E835" s="36"/>
      <c r="F835" s="36"/>
      <c r="G835" s="2"/>
      <c r="H835" s="2"/>
      <c r="I835" s="2"/>
      <c r="J835" s="2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</row>
    <row r="836" ht="15.75" customHeight="1">
      <c r="A836" s="36"/>
      <c r="B836" s="36"/>
      <c r="C836" s="2"/>
      <c r="D836" s="36"/>
      <c r="E836" s="36"/>
      <c r="F836" s="36"/>
      <c r="G836" s="2"/>
      <c r="H836" s="2"/>
      <c r="I836" s="2"/>
      <c r="J836" s="2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</row>
    <row r="837" ht="15.75" customHeight="1">
      <c r="A837" s="36"/>
      <c r="B837" s="36"/>
      <c r="C837" s="2"/>
      <c r="D837" s="36"/>
      <c r="E837" s="36"/>
      <c r="F837" s="36"/>
      <c r="G837" s="2"/>
      <c r="H837" s="2"/>
      <c r="I837" s="2"/>
      <c r="J837" s="2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</row>
    <row r="838" ht="15.75" customHeight="1">
      <c r="A838" s="36"/>
      <c r="B838" s="36"/>
      <c r="C838" s="2"/>
      <c r="D838" s="36"/>
      <c r="E838" s="36"/>
      <c r="F838" s="36"/>
      <c r="G838" s="2"/>
      <c r="H838" s="2"/>
      <c r="I838" s="2"/>
      <c r="J838" s="2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</row>
    <row r="839" ht="15.75" customHeight="1">
      <c r="A839" s="36"/>
      <c r="B839" s="36"/>
      <c r="C839" s="2"/>
      <c r="D839" s="36"/>
      <c r="E839" s="36"/>
      <c r="F839" s="36"/>
      <c r="G839" s="2"/>
      <c r="H839" s="2"/>
      <c r="I839" s="2"/>
      <c r="J839" s="2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</row>
    <row r="840" ht="15.75" customHeight="1">
      <c r="A840" s="36"/>
      <c r="B840" s="36"/>
      <c r="C840" s="2"/>
      <c r="D840" s="36"/>
      <c r="E840" s="36"/>
      <c r="F840" s="36"/>
      <c r="G840" s="2"/>
      <c r="H840" s="2"/>
      <c r="I840" s="2"/>
      <c r="J840" s="2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</row>
    <row r="841" ht="15.75" customHeight="1">
      <c r="A841" s="36"/>
      <c r="B841" s="36"/>
      <c r="C841" s="2"/>
      <c r="D841" s="36"/>
      <c r="E841" s="36"/>
      <c r="F841" s="36"/>
      <c r="G841" s="2"/>
      <c r="H841" s="2"/>
      <c r="I841" s="2"/>
      <c r="J841" s="2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</row>
    <row r="842" ht="15.75" customHeight="1">
      <c r="A842" s="36"/>
      <c r="B842" s="36"/>
      <c r="C842" s="2"/>
      <c r="D842" s="36"/>
      <c r="E842" s="36"/>
      <c r="F842" s="36"/>
      <c r="G842" s="2"/>
      <c r="H842" s="2"/>
      <c r="I842" s="2"/>
      <c r="J842" s="2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</row>
    <row r="843" ht="15.75" customHeight="1">
      <c r="A843" s="36"/>
      <c r="B843" s="36"/>
      <c r="C843" s="2"/>
      <c r="D843" s="36"/>
      <c r="E843" s="36"/>
      <c r="F843" s="36"/>
      <c r="G843" s="2"/>
      <c r="H843" s="2"/>
      <c r="I843" s="2"/>
      <c r="J843" s="2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</row>
    <row r="844" ht="15.75" customHeight="1">
      <c r="A844" s="36"/>
      <c r="B844" s="36"/>
      <c r="C844" s="2"/>
      <c r="D844" s="36"/>
      <c r="E844" s="36"/>
      <c r="F844" s="36"/>
      <c r="G844" s="2"/>
      <c r="H844" s="2"/>
      <c r="I844" s="2"/>
      <c r="J844" s="2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</row>
    <row r="845" ht="15.75" customHeight="1">
      <c r="A845" s="36"/>
      <c r="B845" s="36"/>
      <c r="C845" s="2"/>
      <c r="D845" s="36"/>
      <c r="E845" s="36"/>
      <c r="F845" s="36"/>
      <c r="G845" s="2"/>
      <c r="H845" s="2"/>
      <c r="I845" s="2"/>
      <c r="J845" s="2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</row>
    <row r="846" ht="15.75" customHeight="1">
      <c r="A846" s="36"/>
      <c r="B846" s="36"/>
      <c r="C846" s="2"/>
      <c r="D846" s="36"/>
      <c r="E846" s="36"/>
      <c r="F846" s="36"/>
      <c r="G846" s="2"/>
      <c r="H846" s="2"/>
      <c r="I846" s="2"/>
      <c r="J846" s="2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</row>
    <row r="847" ht="15.75" customHeight="1">
      <c r="A847" s="36"/>
      <c r="B847" s="36"/>
      <c r="C847" s="2"/>
      <c r="D847" s="36"/>
      <c r="E847" s="36"/>
      <c r="F847" s="36"/>
      <c r="G847" s="2"/>
      <c r="H847" s="2"/>
      <c r="I847" s="2"/>
      <c r="J847" s="2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</row>
    <row r="848" ht="15.75" customHeight="1">
      <c r="A848" s="36"/>
      <c r="B848" s="36"/>
      <c r="C848" s="2"/>
      <c r="D848" s="36"/>
      <c r="E848" s="36"/>
      <c r="F848" s="36"/>
      <c r="G848" s="2"/>
      <c r="H848" s="2"/>
      <c r="I848" s="2"/>
      <c r="J848" s="2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</row>
    <row r="849" ht="15.75" customHeight="1">
      <c r="A849" s="36"/>
      <c r="B849" s="36"/>
      <c r="C849" s="2"/>
      <c r="D849" s="36"/>
      <c r="E849" s="36"/>
      <c r="F849" s="36"/>
      <c r="G849" s="2"/>
      <c r="H849" s="2"/>
      <c r="I849" s="2"/>
      <c r="J849" s="2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</row>
    <row r="850" ht="15.75" customHeight="1">
      <c r="A850" s="36"/>
      <c r="B850" s="36"/>
      <c r="C850" s="2"/>
      <c r="D850" s="36"/>
      <c r="E850" s="36"/>
      <c r="F850" s="36"/>
      <c r="G850" s="2"/>
      <c r="H850" s="2"/>
      <c r="I850" s="2"/>
      <c r="J850" s="2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</row>
    <row r="851" ht="15.75" customHeight="1">
      <c r="A851" s="36"/>
      <c r="B851" s="36"/>
      <c r="C851" s="2"/>
      <c r="D851" s="36"/>
      <c r="E851" s="36"/>
      <c r="F851" s="36"/>
      <c r="G851" s="2"/>
      <c r="H851" s="2"/>
      <c r="I851" s="2"/>
      <c r="J851" s="2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</row>
    <row r="852" ht="15.75" customHeight="1">
      <c r="A852" s="36"/>
      <c r="B852" s="36"/>
      <c r="C852" s="2"/>
      <c r="D852" s="36"/>
      <c r="E852" s="36"/>
      <c r="F852" s="36"/>
      <c r="G852" s="2"/>
      <c r="H852" s="2"/>
      <c r="I852" s="2"/>
      <c r="J852" s="2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</row>
    <row r="853" ht="15.75" customHeight="1">
      <c r="A853" s="36"/>
      <c r="B853" s="36"/>
      <c r="C853" s="2"/>
      <c r="D853" s="36"/>
      <c r="E853" s="36"/>
      <c r="F853" s="36"/>
      <c r="G853" s="2"/>
      <c r="H853" s="2"/>
      <c r="I853" s="2"/>
      <c r="J853" s="2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</row>
    <row r="854" ht="15.75" customHeight="1">
      <c r="A854" s="36"/>
      <c r="B854" s="36"/>
      <c r="C854" s="2"/>
      <c r="D854" s="36"/>
      <c r="E854" s="36"/>
      <c r="F854" s="36"/>
      <c r="G854" s="2"/>
      <c r="H854" s="2"/>
      <c r="I854" s="2"/>
      <c r="J854" s="2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</row>
    <row r="855" ht="15.75" customHeight="1">
      <c r="A855" s="36"/>
      <c r="B855" s="36"/>
      <c r="C855" s="2"/>
      <c r="D855" s="36"/>
      <c r="E855" s="36"/>
      <c r="F855" s="36"/>
      <c r="G855" s="2"/>
      <c r="H855" s="2"/>
      <c r="I855" s="2"/>
      <c r="J855" s="2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</row>
    <row r="856" ht="15.75" customHeight="1">
      <c r="A856" s="36"/>
      <c r="B856" s="36"/>
      <c r="C856" s="2"/>
      <c r="D856" s="36"/>
      <c r="E856" s="36"/>
      <c r="F856" s="36"/>
      <c r="G856" s="2"/>
      <c r="H856" s="2"/>
      <c r="I856" s="2"/>
      <c r="J856" s="2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</row>
    <row r="857" ht="15.75" customHeight="1">
      <c r="A857" s="36"/>
      <c r="B857" s="36"/>
      <c r="C857" s="2"/>
      <c r="D857" s="36"/>
      <c r="E857" s="36"/>
      <c r="F857" s="36"/>
      <c r="G857" s="2"/>
      <c r="H857" s="2"/>
      <c r="I857" s="2"/>
      <c r="J857" s="2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</row>
    <row r="858" ht="15.75" customHeight="1">
      <c r="A858" s="36"/>
      <c r="B858" s="36"/>
      <c r="C858" s="2"/>
      <c r="D858" s="36"/>
      <c r="E858" s="36"/>
      <c r="F858" s="36"/>
      <c r="G858" s="2"/>
      <c r="H858" s="2"/>
      <c r="I858" s="2"/>
      <c r="J858" s="2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</row>
    <row r="859" ht="15.75" customHeight="1">
      <c r="A859" s="36"/>
      <c r="B859" s="36"/>
      <c r="C859" s="2"/>
      <c r="D859" s="36"/>
      <c r="E859" s="36"/>
      <c r="F859" s="36"/>
      <c r="G859" s="2"/>
      <c r="H859" s="2"/>
      <c r="I859" s="2"/>
      <c r="J859" s="2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</row>
    <row r="860" ht="15.75" customHeight="1">
      <c r="A860" s="36"/>
      <c r="B860" s="36"/>
      <c r="C860" s="2"/>
      <c r="D860" s="36"/>
      <c r="E860" s="36"/>
      <c r="F860" s="36"/>
      <c r="G860" s="2"/>
      <c r="H860" s="2"/>
      <c r="I860" s="2"/>
      <c r="J860" s="2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</row>
    <row r="861" ht="15.75" customHeight="1">
      <c r="A861" s="36"/>
      <c r="B861" s="36"/>
      <c r="C861" s="2"/>
      <c r="D861" s="36"/>
      <c r="E861" s="36"/>
      <c r="F861" s="36"/>
      <c r="G861" s="2"/>
      <c r="H861" s="2"/>
      <c r="I861" s="2"/>
      <c r="J861" s="2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</row>
    <row r="862" ht="15.75" customHeight="1">
      <c r="A862" s="36"/>
      <c r="B862" s="36"/>
      <c r="C862" s="2"/>
      <c r="D862" s="36"/>
      <c r="E862" s="36"/>
      <c r="F862" s="36"/>
      <c r="G862" s="2"/>
      <c r="H862" s="2"/>
      <c r="I862" s="2"/>
      <c r="J862" s="2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</row>
    <row r="863" ht="15.75" customHeight="1">
      <c r="A863" s="36"/>
      <c r="B863" s="36"/>
      <c r="C863" s="2"/>
      <c r="D863" s="36"/>
      <c r="E863" s="36"/>
      <c r="F863" s="36"/>
      <c r="G863" s="2"/>
      <c r="H863" s="2"/>
      <c r="I863" s="2"/>
      <c r="J863" s="2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</row>
    <row r="864" ht="15.75" customHeight="1">
      <c r="A864" s="36"/>
      <c r="B864" s="36"/>
      <c r="C864" s="2"/>
      <c r="D864" s="36"/>
      <c r="E864" s="36"/>
      <c r="F864" s="36"/>
      <c r="G864" s="2"/>
      <c r="H864" s="2"/>
      <c r="I864" s="2"/>
      <c r="J864" s="2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</row>
    <row r="865" ht="15.75" customHeight="1">
      <c r="A865" s="36"/>
      <c r="B865" s="36"/>
      <c r="C865" s="2"/>
      <c r="D865" s="36"/>
      <c r="E865" s="36"/>
      <c r="F865" s="36"/>
      <c r="G865" s="2"/>
      <c r="H865" s="2"/>
      <c r="I865" s="2"/>
      <c r="J865" s="2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</row>
    <row r="866" ht="15.75" customHeight="1">
      <c r="A866" s="36"/>
      <c r="B866" s="36"/>
      <c r="C866" s="2"/>
      <c r="D866" s="36"/>
      <c r="E866" s="36"/>
      <c r="F866" s="36"/>
      <c r="G866" s="2"/>
      <c r="H866" s="2"/>
      <c r="I866" s="2"/>
      <c r="J866" s="2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</row>
    <row r="867" ht="15.75" customHeight="1">
      <c r="A867" s="36"/>
      <c r="B867" s="36"/>
      <c r="C867" s="2"/>
      <c r="D867" s="36"/>
      <c r="E867" s="36"/>
      <c r="F867" s="36"/>
      <c r="G867" s="2"/>
      <c r="H867" s="2"/>
      <c r="I867" s="2"/>
      <c r="J867" s="2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</row>
    <row r="868" ht="15.75" customHeight="1">
      <c r="A868" s="36"/>
      <c r="B868" s="36"/>
      <c r="C868" s="2"/>
      <c r="D868" s="36"/>
      <c r="E868" s="36"/>
      <c r="F868" s="36"/>
      <c r="G868" s="2"/>
      <c r="H868" s="2"/>
      <c r="I868" s="2"/>
      <c r="J868" s="2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</row>
    <row r="869" ht="15.75" customHeight="1">
      <c r="A869" s="36"/>
      <c r="B869" s="36"/>
      <c r="C869" s="2"/>
      <c r="D869" s="36"/>
      <c r="E869" s="36"/>
      <c r="F869" s="36"/>
      <c r="G869" s="2"/>
      <c r="H869" s="2"/>
      <c r="I869" s="2"/>
      <c r="J869" s="2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</row>
    <row r="870" ht="15.75" customHeight="1">
      <c r="A870" s="36"/>
      <c r="B870" s="36"/>
      <c r="C870" s="2"/>
      <c r="D870" s="36"/>
      <c r="E870" s="36"/>
      <c r="F870" s="36"/>
      <c r="G870" s="2"/>
      <c r="H870" s="2"/>
      <c r="I870" s="2"/>
      <c r="J870" s="2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</row>
    <row r="871" ht="15.75" customHeight="1">
      <c r="A871" s="36"/>
      <c r="B871" s="36"/>
      <c r="C871" s="2"/>
      <c r="D871" s="36"/>
      <c r="E871" s="36"/>
      <c r="F871" s="36"/>
      <c r="G871" s="2"/>
      <c r="H871" s="2"/>
      <c r="I871" s="2"/>
      <c r="J871" s="2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</row>
    <row r="872" ht="15.75" customHeight="1">
      <c r="A872" s="36"/>
      <c r="B872" s="36"/>
      <c r="C872" s="2"/>
      <c r="D872" s="36"/>
      <c r="E872" s="36"/>
      <c r="F872" s="36"/>
      <c r="G872" s="2"/>
      <c r="H872" s="2"/>
      <c r="I872" s="2"/>
      <c r="J872" s="2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</row>
    <row r="873" ht="15.75" customHeight="1">
      <c r="A873" s="36"/>
      <c r="B873" s="36"/>
      <c r="C873" s="2"/>
      <c r="D873" s="36"/>
      <c r="E873" s="36"/>
      <c r="F873" s="36"/>
      <c r="G873" s="2"/>
      <c r="H873" s="2"/>
      <c r="I873" s="2"/>
      <c r="J873" s="2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</row>
    <row r="874" ht="15.75" customHeight="1">
      <c r="A874" s="36"/>
      <c r="B874" s="36"/>
      <c r="C874" s="2"/>
      <c r="D874" s="36"/>
      <c r="E874" s="36"/>
      <c r="F874" s="36"/>
      <c r="G874" s="2"/>
      <c r="H874" s="2"/>
      <c r="I874" s="2"/>
      <c r="J874" s="2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</row>
    <row r="875" ht="15.75" customHeight="1">
      <c r="A875" s="36"/>
      <c r="B875" s="36"/>
      <c r="C875" s="2"/>
      <c r="D875" s="36"/>
      <c r="E875" s="36"/>
      <c r="F875" s="36"/>
      <c r="G875" s="2"/>
      <c r="H875" s="2"/>
      <c r="I875" s="2"/>
      <c r="J875" s="2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</row>
    <row r="876" ht="15.75" customHeight="1">
      <c r="A876" s="36"/>
      <c r="B876" s="36"/>
      <c r="C876" s="2"/>
      <c r="D876" s="36"/>
      <c r="E876" s="36"/>
      <c r="F876" s="36"/>
      <c r="G876" s="2"/>
      <c r="H876" s="2"/>
      <c r="I876" s="2"/>
      <c r="J876" s="2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</row>
    <row r="877" ht="15.75" customHeight="1">
      <c r="A877" s="36"/>
      <c r="B877" s="36"/>
      <c r="C877" s="2"/>
      <c r="D877" s="36"/>
      <c r="E877" s="36"/>
      <c r="F877" s="36"/>
      <c r="G877" s="2"/>
      <c r="H877" s="2"/>
      <c r="I877" s="2"/>
      <c r="J877" s="2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</row>
    <row r="878" ht="15.75" customHeight="1">
      <c r="A878" s="36"/>
      <c r="B878" s="36"/>
      <c r="C878" s="2"/>
      <c r="D878" s="36"/>
      <c r="E878" s="36"/>
      <c r="F878" s="36"/>
      <c r="G878" s="2"/>
      <c r="H878" s="2"/>
      <c r="I878" s="2"/>
      <c r="J878" s="2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</row>
    <row r="879" ht="15.75" customHeight="1">
      <c r="A879" s="36"/>
      <c r="B879" s="36"/>
      <c r="C879" s="2"/>
      <c r="D879" s="36"/>
      <c r="E879" s="36"/>
      <c r="F879" s="36"/>
      <c r="G879" s="2"/>
      <c r="H879" s="2"/>
      <c r="I879" s="2"/>
      <c r="J879" s="2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</row>
    <row r="880" ht="15.75" customHeight="1">
      <c r="A880" s="36"/>
      <c r="B880" s="36"/>
      <c r="C880" s="2"/>
      <c r="D880" s="36"/>
      <c r="E880" s="36"/>
      <c r="F880" s="36"/>
      <c r="G880" s="2"/>
      <c r="H880" s="2"/>
      <c r="I880" s="2"/>
      <c r="J880" s="2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</row>
    <row r="881" ht="15.75" customHeight="1">
      <c r="A881" s="36"/>
      <c r="B881" s="36"/>
      <c r="C881" s="2"/>
      <c r="D881" s="36"/>
      <c r="E881" s="36"/>
      <c r="F881" s="36"/>
      <c r="G881" s="2"/>
      <c r="H881" s="2"/>
      <c r="I881" s="2"/>
      <c r="J881" s="2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</row>
    <row r="882" ht="15.75" customHeight="1">
      <c r="A882" s="36"/>
      <c r="B882" s="36"/>
      <c r="C882" s="2"/>
      <c r="D882" s="36"/>
      <c r="E882" s="36"/>
      <c r="F882" s="36"/>
      <c r="G882" s="2"/>
      <c r="H882" s="2"/>
      <c r="I882" s="2"/>
      <c r="J882" s="2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</row>
    <row r="883" ht="15.75" customHeight="1">
      <c r="A883" s="36"/>
      <c r="B883" s="36"/>
      <c r="C883" s="2"/>
      <c r="D883" s="36"/>
      <c r="E883" s="36"/>
      <c r="F883" s="36"/>
      <c r="G883" s="2"/>
      <c r="H883" s="2"/>
      <c r="I883" s="2"/>
      <c r="J883" s="2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</row>
    <row r="884" ht="15.75" customHeight="1">
      <c r="A884" s="36"/>
      <c r="B884" s="36"/>
      <c r="C884" s="2"/>
      <c r="D884" s="36"/>
      <c r="E884" s="36"/>
      <c r="F884" s="36"/>
      <c r="G884" s="2"/>
      <c r="H884" s="2"/>
      <c r="I884" s="2"/>
      <c r="J884" s="2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</row>
    <row r="885" ht="15.75" customHeight="1">
      <c r="A885" s="36"/>
      <c r="B885" s="36"/>
      <c r="C885" s="2"/>
      <c r="D885" s="36"/>
      <c r="E885" s="36"/>
      <c r="F885" s="36"/>
      <c r="G885" s="2"/>
      <c r="H885" s="2"/>
      <c r="I885" s="2"/>
      <c r="J885" s="2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</row>
    <row r="886" ht="15.75" customHeight="1">
      <c r="A886" s="36"/>
      <c r="B886" s="36"/>
      <c r="C886" s="2"/>
      <c r="D886" s="36"/>
      <c r="E886" s="36"/>
      <c r="F886" s="36"/>
      <c r="G886" s="2"/>
      <c r="H886" s="2"/>
      <c r="I886" s="2"/>
      <c r="J886" s="2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</row>
    <row r="887" ht="15.75" customHeight="1">
      <c r="A887" s="36"/>
      <c r="B887" s="36"/>
      <c r="C887" s="2"/>
      <c r="D887" s="36"/>
      <c r="E887" s="36"/>
      <c r="F887" s="36"/>
      <c r="G887" s="2"/>
      <c r="H887" s="2"/>
      <c r="I887" s="2"/>
      <c r="J887" s="2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</row>
    <row r="888" ht="15.75" customHeight="1">
      <c r="A888" s="36"/>
      <c r="B888" s="36"/>
      <c r="C888" s="2"/>
      <c r="D888" s="36"/>
      <c r="E888" s="36"/>
      <c r="F888" s="36"/>
      <c r="G888" s="2"/>
      <c r="H888" s="2"/>
      <c r="I888" s="2"/>
      <c r="J888" s="2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</row>
    <row r="889" ht="15.75" customHeight="1">
      <c r="A889" s="36"/>
      <c r="B889" s="36"/>
      <c r="C889" s="2"/>
      <c r="D889" s="36"/>
      <c r="E889" s="36"/>
      <c r="F889" s="36"/>
      <c r="G889" s="2"/>
      <c r="H889" s="2"/>
      <c r="I889" s="2"/>
      <c r="J889" s="2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</row>
    <row r="890" ht="15.75" customHeight="1">
      <c r="A890" s="36"/>
      <c r="B890" s="36"/>
      <c r="C890" s="2"/>
      <c r="D890" s="36"/>
      <c r="E890" s="36"/>
      <c r="F890" s="36"/>
      <c r="G890" s="2"/>
      <c r="H890" s="2"/>
      <c r="I890" s="2"/>
      <c r="J890" s="2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</row>
    <row r="891" ht="15.75" customHeight="1">
      <c r="A891" s="36"/>
      <c r="B891" s="36"/>
      <c r="C891" s="2"/>
      <c r="D891" s="36"/>
      <c r="E891" s="36"/>
      <c r="F891" s="36"/>
      <c r="G891" s="2"/>
      <c r="H891" s="2"/>
      <c r="I891" s="2"/>
      <c r="J891" s="2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</row>
    <row r="892" ht="15.75" customHeight="1">
      <c r="A892" s="36"/>
      <c r="B892" s="36"/>
      <c r="C892" s="2"/>
      <c r="D892" s="36"/>
      <c r="E892" s="36"/>
      <c r="F892" s="36"/>
      <c r="G892" s="2"/>
      <c r="H892" s="2"/>
      <c r="I892" s="2"/>
      <c r="J892" s="2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</row>
    <row r="893" ht="15.75" customHeight="1">
      <c r="A893" s="36"/>
      <c r="B893" s="36"/>
      <c r="C893" s="2"/>
      <c r="D893" s="36"/>
      <c r="E893" s="36"/>
      <c r="F893" s="36"/>
      <c r="G893" s="2"/>
      <c r="H893" s="2"/>
      <c r="I893" s="2"/>
      <c r="J893" s="2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</row>
    <row r="894" ht="15.75" customHeight="1">
      <c r="A894" s="36"/>
      <c r="B894" s="36"/>
      <c r="C894" s="2"/>
      <c r="D894" s="36"/>
      <c r="E894" s="36"/>
      <c r="F894" s="36"/>
      <c r="G894" s="2"/>
      <c r="H894" s="2"/>
      <c r="I894" s="2"/>
      <c r="J894" s="2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</row>
    <row r="895" ht="15.75" customHeight="1">
      <c r="A895" s="36"/>
      <c r="B895" s="36"/>
      <c r="C895" s="2"/>
      <c r="D895" s="36"/>
      <c r="E895" s="36"/>
      <c r="F895" s="36"/>
      <c r="G895" s="2"/>
      <c r="H895" s="2"/>
      <c r="I895" s="2"/>
      <c r="J895" s="2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</row>
    <row r="896" ht="15.75" customHeight="1">
      <c r="A896" s="36"/>
      <c r="B896" s="36"/>
      <c r="C896" s="2"/>
      <c r="D896" s="36"/>
      <c r="E896" s="36"/>
      <c r="F896" s="36"/>
      <c r="G896" s="2"/>
      <c r="H896" s="2"/>
      <c r="I896" s="2"/>
      <c r="J896" s="2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</row>
    <row r="897" ht="15.75" customHeight="1">
      <c r="A897" s="36"/>
      <c r="B897" s="36"/>
      <c r="C897" s="2"/>
      <c r="D897" s="36"/>
      <c r="E897" s="36"/>
      <c r="F897" s="36"/>
      <c r="G897" s="2"/>
      <c r="H897" s="2"/>
      <c r="I897" s="2"/>
      <c r="J897" s="2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</row>
    <row r="898" ht="15.75" customHeight="1">
      <c r="A898" s="36"/>
      <c r="B898" s="36"/>
      <c r="C898" s="2"/>
      <c r="D898" s="36"/>
      <c r="E898" s="36"/>
      <c r="F898" s="36"/>
      <c r="G898" s="2"/>
      <c r="H898" s="2"/>
      <c r="I898" s="2"/>
      <c r="J898" s="2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</row>
    <row r="899" ht="15.75" customHeight="1">
      <c r="A899" s="36"/>
      <c r="B899" s="36"/>
      <c r="C899" s="2"/>
      <c r="D899" s="36"/>
      <c r="E899" s="36"/>
      <c r="F899" s="36"/>
      <c r="G899" s="2"/>
      <c r="H899" s="2"/>
      <c r="I899" s="2"/>
      <c r="J899" s="2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</row>
    <row r="900" ht="15.75" customHeight="1">
      <c r="A900" s="36"/>
      <c r="B900" s="36"/>
      <c r="C900" s="2"/>
      <c r="D900" s="36"/>
      <c r="E900" s="36"/>
      <c r="F900" s="36"/>
      <c r="G900" s="2"/>
      <c r="H900" s="2"/>
      <c r="I900" s="2"/>
      <c r="J900" s="2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</row>
    <row r="901" ht="15.75" customHeight="1">
      <c r="A901" s="36"/>
      <c r="B901" s="36"/>
      <c r="C901" s="2"/>
      <c r="D901" s="36"/>
      <c r="E901" s="36"/>
      <c r="F901" s="36"/>
      <c r="G901" s="2"/>
      <c r="H901" s="2"/>
      <c r="I901" s="2"/>
      <c r="J901" s="2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</row>
    <row r="902" ht="15.75" customHeight="1">
      <c r="A902" s="36"/>
      <c r="B902" s="36"/>
      <c r="C902" s="2"/>
      <c r="D902" s="36"/>
      <c r="E902" s="36"/>
      <c r="F902" s="36"/>
      <c r="G902" s="2"/>
      <c r="H902" s="2"/>
      <c r="I902" s="2"/>
      <c r="J902" s="2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</row>
    <row r="903" ht="15.75" customHeight="1">
      <c r="A903" s="36"/>
      <c r="B903" s="36"/>
      <c r="C903" s="2"/>
      <c r="D903" s="36"/>
      <c r="E903" s="36"/>
      <c r="F903" s="36"/>
      <c r="G903" s="2"/>
      <c r="H903" s="2"/>
      <c r="I903" s="2"/>
      <c r="J903" s="2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</row>
    <row r="904" ht="15.75" customHeight="1">
      <c r="A904" s="36"/>
      <c r="B904" s="36"/>
      <c r="C904" s="2"/>
      <c r="D904" s="36"/>
      <c r="E904" s="36"/>
      <c r="F904" s="36"/>
      <c r="G904" s="2"/>
      <c r="H904" s="2"/>
      <c r="I904" s="2"/>
      <c r="J904" s="2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</row>
    <row r="905" ht="15.75" customHeight="1">
      <c r="A905" s="36"/>
      <c r="B905" s="36"/>
      <c r="C905" s="2"/>
      <c r="D905" s="36"/>
      <c r="E905" s="36"/>
      <c r="F905" s="36"/>
      <c r="G905" s="2"/>
      <c r="H905" s="2"/>
      <c r="I905" s="2"/>
      <c r="J905" s="2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</row>
    <row r="906" ht="15.75" customHeight="1">
      <c r="A906" s="36"/>
      <c r="B906" s="36"/>
      <c r="C906" s="2"/>
      <c r="D906" s="36"/>
      <c r="E906" s="36"/>
      <c r="F906" s="36"/>
      <c r="G906" s="2"/>
      <c r="H906" s="2"/>
      <c r="I906" s="2"/>
      <c r="J906" s="2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</row>
    <row r="907" ht="15.75" customHeight="1">
      <c r="A907" s="36"/>
      <c r="B907" s="36"/>
      <c r="C907" s="2"/>
      <c r="D907" s="36"/>
      <c r="E907" s="36"/>
      <c r="F907" s="36"/>
      <c r="G907" s="2"/>
      <c r="H907" s="2"/>
      <c r="I907" s="2"/>
      <c r="J907" s="2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</row>
    <row r="908" ht="15.75" customHeight="1">
      <c r="A908" s="36"/>
      <c r="B908" s="36"/>
      <c r="C908" s="2"/>
      <c r="D908" s="36"/>
      <c r="E908" s="36"/>
      <c r="F908" s="36"/>
      <c r="G908" s="2"/>
      <c r="H908" s="2"/>
      <c r="I908" s="2"/>
      <c r="J908" s="2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</row>
    <row r="909" ht="15.75" customHeight="1">
      <c r="A909" s="36"/>
      <c r="B909" s="36"/>
      <c r="C909" s="2"/>
      <c r="D909" s="36"/>
      <c r="E909" s="36"/>
      <c r="F909" s="36"/>
      <c r="G909" s="2"/>
      <c r="H909" s="2"/>
      <c r="I909" s="2"/>
      <c r="J909" s="2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</row>
    <row r="910" ht="15.75" customHeight="1">
      <c r="A910" s="36"/>
      <c r="B910" s="36"/>
      <c r="C910" s="2"/>
      <c r="D910" s="36"/>
      <c r="E910" s="36"/>
      <c r="F910" s="36"/>
      <c r="G910" s="2"/>
      <c r="H910" s="2"/>
      <c r="I910" s="2"/>
      <c r="J910" s="2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</row>
    <row r="911" ht="15.75" customHeight="1">
      <c r="A911" s="36"/>
      <c r="B911" s="36"/>
      <c r="C911" s="2"/>
      <c r="D911" s="36"/>
      <c r="E911" s="36"/>
      <c r="F911" s="36"/>
      <c r="G911" s="2"/>
      <c r="H911" s="2"/>
      <c r="I911" s="2"/>
      <c r="J911" s="2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</row>
    <row r="912" ht="15.75" customHeight="1">
      <c r="A912" s="36"/>
      <c r="B912" s="36"/>
      <c r="C912" s="2"/>
      <c r="D912" s="36"/>
      <c r="E912" s="36"/>
      <c r="F912" s="36"/>
      <c r="G912" s="2"/>
      <c r="H912" s="2"/>
      <c r="I912" s="2"/>
      <c r="J912" s="2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</row>
    <row r="913" ht="15.75" customHeight="1">
      <c r="A913" s="36"/>
      <c r="B913" s="36"/>
      <c r="C913" s="2"/>
      <c r="D913" s="36"/>
      <c r="E913" s="36"/>
      <c r="F913" s="36"/>
      <c r="G913" s="2"/>
      <c r="H913" s="2"/>
      <c r="I913" s="2"/>
      <c r="J913" s="2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</row>
    <row r="914" ht="15.75" customHeight="1">
      <c r="A914" s="36"/>
      <c r="B914" s="36"/>
      <c r="C914" s="2"/>
      <c r="D914" s="36"/>
      <c r="E914" s="36"/>
      <c r="F914" s="36"/>
      <c r="G914" s="2"/>
      <c r="H914" s="2"/>
      <c r="I914" s="2"/>
      <c r="J914" s="2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</row>
    <row r="915" ht="15.75" customHeight="1">
      <c r="A915" s="36"/>
      <c r="B915" s="36"/>
      <c r="C915" s="2"/>
      <c r="D915" s="36"/>
      <c r="E915" s="36"/>
      <c r="F915" s="36"/>
      <c r="G915" s="2"/>
      <c r="H915" s="2"/>
      <c r="I915" s="2"/>
      <c r="J915" s="2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</row>
    <row r="916" ht="15.75" customHeight="1">
      <c r="A916" s="36"/>
      <c r="B916" s="36"/>
      <c r="C916" s="2"/>
      <c r="D916" s="36"/>
      <c r="E916" s="36"/>
      <c r="F916" s="36"/>
      <c r="G916" s="2"/>
      <c r="H916" s="2"/>
      <c r="I916" s="2"/>
      <c r="J916" s="2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</row>
    <row r="917" ht="15.75" customHeight="1">
      <c r="A917" s="36"/>
      <c r="B917" s="36"/>
      <c r="C917" s="2"/>
      <c r="D917" s="36"/>
      <c r="E917" s="36"/>
      <c r="F917" s="36"/>
      <c r="G917" s="2"/>
      <c r="H917" s="2"/>
      <c r="I917" s="2"/>
      <c r="J917" s="2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</row>
    <row r="918" ht="15.75" customHeight="1">
      <c r="A918" s="36"/>
      <c r="B918" s="36"/>
      <c r="C918" s="2"/>
      <c r="D918" s="36"/>
      <c r="E918" s="36"/>
      <c r="F918" s="36"/>
      <c r="G918" s="2"/>
      <c r="H918" s="2"/>
      <c r="I918" s="2"/>
      <c r="J918" s="2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</row>
    <row r="919" ht="15.75" customHeight="1">
      <c r="A919" s="36"/>
      <c r="B919" s="36"/>
      <c r="C919" s="2"/>
      <c r="D919" s="36"/>
      <c r="E919" s="36"/>
      <c r="F919" s="36"/>
      <c r="G919" s="2"/>
      <c r="H919" s="2"/>
      <c r="I919" s="2"/>
      <c r="J919" s="2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</row>
    <row r="920" ht="15.75" customHeight="1">
      <c r="A920" s="36"/>
      <c r="B920" s="36"/>
      <c r="C920" s="2"/>
      <c r="D920" s="36"/>
      <c r="E920" s="36"/>
      <c r="F920" s="36"/>
      <c r="G920" s="2"/>
      <c r="H920" s="2"/>
      <c r="I920" s="2"/>
      <c r="J920" s="2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</row>
    <row r="921" ht="15.75" customHeight="1">
      <c r="A921" s="36"/>
      <c r="B921" s="36"/>
      <c r="C921" s="2"/>
      <c r="D921" s="36"/>
      <c r="E921" s="36"/>
      <c r="F921" s="36"/>
      <c r="G921" s="2"/>
      <c r="H921" s="2"/>
      <c r="I921" s="2"/>
      <c r="J921" s="2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</row>
    <row r="922" ht="15.75" customHeight="1">
      <c r="A922" s="36"/>
      <c r="B922" s="36"/>
      <c r="C922" s="2"/>
      <c r="D922" s="36"/>
      <c r="E922" s="36"/>
      <c r="F922" s="36"/>
      <c r="G922" s="2"/>
      <c r="H922" s="2"/>
      <c r="I922" s="2"/>
      <c r="J922" s="2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</row>
    <row r="923" ht="15.75" customHeight="1">
      <c r="A923" s="36"/>
      <c r="B923" s="36"/>
      <c r="C923" s="2"/>
      <c r="D923" s="36"/>
      <c r="E923" s="36"/>
      <c r="F923" s="36"/>
      <c r="G923" s="2"/>
      <c r="H923" s="2"/>
      <c r="I923" s="2"/>
      <c r="J923" s="2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</row>
    <row r="924" ht="15.75" customHeight="1">
      <c r="A924" s="36"/>
      <c r="B924" s="36"/>
      <c r="C924" s="2"/>
      <c r="D924" s="36"/>
      <c r="E924" s="36"/>
      <c r="F924" s="36"/>
      <c r="G924" s="2"/>
      <c r="H924" s="2"/>
      <c r="I924" s="2"/>
      <c r="J924" s="2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</row>
    <row r="925" ht="15.75" customHeight="1">
      <c r="A925" s="36"/>
      <c r="B925" s="36"/>
      <c r="C925" s="2"/>
      <c r="D925" s="36"/>
      <c r="E925" s="36"/>
      <c r="F925" s="36"/>
      <c r="G925" s="2"/>
      <c r="H925" s="2"/>
      <c r="I925" s="2"/>
      <c r="J925" s="2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</row>
    <row r="926" ht="15.75" customHeight="1">
      <c r="A926" s="36"/>
      <c r="B926" s="36"/>
      <c r="C926" s="2"/>
      <c r="D926" s="36"/>
      <c r="E926" s="36"/>
      <c r="F926" s="36"/>
      <c r="G926" s="2"/>
      <c r="H926" s="2"/>
      <c r="I926" s="2"/>
      <c r="J926" s="2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</row>
    <row r="927" ht="15.75" customHeight="1">
      <c r="A927" s="36"/>
      <c r="B927" s="36"/>
      <c r="C927" s="2"/>
      <c r="D927" s="36"/>
      <c r="E927" s="36"/>
      <c r="F927" s="36"/>
      <c r="G927" s="2"/>
      <c r="H927" s="2"/>
      <c r="I927" s="2"/>
      <c r="J927" s="2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</row>
    <row r="928" ht="15.75" customHeight="1">
      <c r="A928" s="36"/>
      <c r="B928" s="36"/>
      <c r="C928" s="2"/>
      <c r="D928" s="36"/>
      <c r="E928" s="36"/>
      <c r="F928" s="36"/>
      <c r="G928" s="2"/>
      <c r="H928" s="2"/>
      <c r="I928" s="2"/>
      <c r="J928" s="2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</row>
    <row r="929" ht="15.75" customHeight="1">
      <c r="A929" s="36"/>
      <c r="B929" s="36"/>
      <c r="C929" s="2"/>
      <c r="D929" s="36"/>
      <c r="E929" s="36"/>
      <c r="F929" s="36"/>
      <c r="G929" s="2"/>
      <c r="H929" s="2"/>
      <c r="I929" s="2"/>
      <c r="J929" s="2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</row>
    <row r="930" ht="15.75" customHeight="1">
      <c r="A930" s="36"/>
      <c r="B930" s="36"/>
      <c r="C930" s="2"/>
      <c r="D930" s="36"/>
      <c r="E930" s="36"/>
      <c r="F930" s="36"/>
      <c r="G930" s="2"/>
      <c r="H930" s="2"/>
      <c r="I930" s="2"/>
      <c r="J930" s="2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</row>
    <row r="931" ht="15.75" customHeight="1">
      <c r="A931" s="36"/>
      <c r="B931" s="36"/>
      <c r="C931" s="2"/>
      <c r="D931" s="36"/>
      <c r="E931" s="36"/>
      <c r="F931" s="36"/>
      <c r="G931" s="2"/>
      <c r="H931" s="2"/>
      <c r="I931" s="2"/>
      <c r="J931" s="2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</row>
    <row r="932" ht="15.75" customHeight="1">
      <c r="A932" s="36"/>
      <c r="B932" s="36"/>
      <c r="C932" s="2"/>
      <c r="D932" s="36"/>
      <c r="E932" s="36"/>
      <c r="F932" s="36"/>
      <c r="G932" s="2"/>
      <c r="H932" s="2"/>
      <c r="I932" s="2"/>
      <c r="J932" s="2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</row>
    <row r="933" ht="15.75" customHeight="1">
      <c r="A933" s="36"/>
      <c r="B933" s="36"/>
      <c r="C933" s="2"/>
      <c r="D933" s="36"/>
      <c r="E933" s="36"/>
      <c r="F933" s="36"/>
      <c r="G933" s="2"/>
      <c r="H933" s="2"/>
      <c r="I933" s="2"/>
      <c r="J933" s="2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</row>
    <row r="934" ht="15.75" customHeight="1">
      <c r="A934" s="36"/>
      <c r="B934" s="36"/>
      <c r="C934" s="2"/>
      <c r="D934" s="36"/>
      <c r="E934" s="36"/>
      <c r="F934" s="36"/>
      <c r="G934" s="2"/>
      <c r="H934" s="2"/>
      <c r="I934" s="2"/>
      <c r="J934" s="2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</row>
    <row r="935" ht="15.75" customHeight="1">
      <c r="A935" s="36"/>
      <c r="B935" s="36"/>
      <c r="C935" s="2"/>
      <c r="D935" s="36"/>
      <c r="E935" s="36"/>
      <c r="F935" s="36"/>
      <c r="G935" s="2"/>
      <c r="H935" s="2"/>
      <c r="I935" s="2"/>
      <c r="J935" s="2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</row>
    <row r="936" ht="15.75" customHeight="1">
      <c r="A936" s="36"/>
      <c r="B936" s="36"/>
      <c r="C936" s="2"/>
      <c r="D936" s="36"/>
      <c r="E936" s="36"/>
      <c r="F936" s="36"/>
      <c r="G936" s="2"/>
      <c r="H936" s="2"/>
      <c r="I936" s="2"/>
      <c r="J936" s="2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</row>
    <row r="937" ht="15.75" customHeight="1">
      <c r="A937" s="36"/>
      <c r="B937" s="36"/>
      <c r="C937" s="2"/>
      <c r="D937" s="36"/>
      <c r="E937" s="36"/>
      <c r="F937" s="36"/>
      <c r="G937" s="2"/>
      <c r="H937" s="2"/>
      <c r="I937" s="2"/>
      <c r="J937" s="2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</row>
    <row r="938" ht="15.75" customHeight="1">
      <c r="A938" s="36"/>
      <c r="B938" s="36"/>
      <c r="C938" s="2"/>
      <c r="D938" s="36"/>
      <c r="E938" s="36"/>
      <c r="F938" s="36"/>
      <c r="G938" s="2"/>
      <c r="H938" s="2"/>
      <c r="I938" s="2"/>
      <c r="J938" s="2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</row>
    <row r="939" ht="15.75" customHeight="1">
      <c r="A939" s="36"/>
      <c r="B939" s="36"/>
      <c r="C939" s="2"/>
      <c r="D939" s="36"/>
      <c r="E939" s="36"/>
      <c r="F939" s="36"/>
      <c r="G939" s="2"/>
      <c r="H939" s="2"/>
      <c r="I939" s="2"/>
      <c r="J939" s="2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</row>
    <row r="940" ht="15.75" customHeight="1">
      <c r="A940" s="36"/>
      <c r="B940" s="36"/>
      <c r="C940" s="2"/>
      <c r="D940" s="36"/>
      <c r="E940" s="36"/>
      <c r="F940" s="36"/>
      <c r="G940" s="2"/>
      <c r="H940" s="2"/>
      <c r="I940" s="2"/>
      <c r="J940" s="2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</row>
    <row r="941" ht="15.75" customHeight="1">
      <c r="A941" s="36"/>
      <c r="B941" s="36"/>
      <c r="C941" s="2"/>
      <c r="D941" s="36"/>
      <c r="E941" s="36"/>
      <c r="F941" s="36"/>
      <c r="G941" s="2"/>
      <c r="H941" s="2"/>
      <c r="I941" s="2"/>
      <c r="J941" s="2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</row>
    <row r="942" ht="15.75" customHeight="1">
      <c r="A942" s="36"/>
      <c r="B942" s="36"/>
      <c r="C942" s="2"/>
      <c r="D942" s="36"/>
      <c r="E942" s="36"/>
      <c r="F942" s="36"/>
      <c r="G942" s="2"/>
      <c r="H942" s="2"/>
      <c r="I942" s="2"/>
      <c r="J942" s="2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</row>
    <row r="943" ht="15.75" customHeight="1">
      <c r="A943" s="36"/>
      <c r="B943" s="36"/>
      <c r="C943" s="2"/>
      <c r="D943" s="36"/>
      <c r="E943" s="36"/>
      <c r="F943" s="36"/>
      <c r="G943" s="2"/>
      <c r="H943" s="2"/>
      <c r="I943" s="2"/>
      <c r="J943" s="2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</row>
    <row r="944" ht="15.75" customHeight="1">
      <c r="A944" s="36"/>
      <c r="B944" s="36"/>
      <c r="C944" s="2"/>
      <c r="D944" s="36"/>
      <c r="E944" s="36"/>
      <c r="F944" s="36"/>
      <c r="G944" s="2"/>
      <c r="H944" s="2"/>
      <c r="I944" s="2"/>
      <c r="J944" s="2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</row>
    <row r="945" ht="15.75" customHeight="1">
      <c r="A945" s="36"/>
      <c r="B945" s="36"/>
      <c r="C945" s="2"/>
      <c r="D945" s="36"/>
      <c r="E945" s="36"/>
      <c r="F945" s="36"/>
      <c r="G945" s="2"/>
      <c r="H945" s="2"/>
      <c r="I945" s="2"/>
      <c r="J945" s="2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</row>
    <row r="946" ht="15.75" customHeight="1">
      <c r="A946" s="36"/>
      <c r="B946" s="36"/>
      <c r="C946" s="2"/>
      <c r="D946" s="36"/>
      <c r="E946" s="36"/>
      <c r="F946" s="36"/>
      <c r="G946" s="2"/>
      <c r="H946" s="2"/>
      <c r="I946" s="2"/>
      <c r="J946" s="2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</row>
    <row r="947" ht="15.75" customHeight="1">
      <c r="A947" s="36"/>
      <c r="B947" s="36"/>
      <c r="C947" s="2"/>
      <c r="D947" s="36"/>
      <c r="E947" s="36"/>
      <c r="F947" s="36"/>
      <c r="G947" s="2"/>
      <c r="H947" s="2"/>
      <c r="I947" s="2"/>
      <c r="J947" s="2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</row>
    <row r="948" ht="15.75" customHeight="1">
      <c r="A948" s="36"/>
      <c r="B948" s="36"/>
      <c r="C948" s="2"/>
      <c r="D948" s="36"/>
      <c r="E948" s="36"/>
      <c r="F948" s="36"/>
      <c r="G948" s="2"/>
      <c r="H948" s="2"/>
      <c r="I948" s="2"/>
      <c r="J948" s="2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</row>
    <row r="949" ht="15.75" customHeight="1">
      <c r="A949" s="36"/>
      <c r="B949" s="36"/>
      <c r="C949" s="2"/>
      <c r="D949" s="36"/>
      <c r="E949" s="36"/>
      <c r="F949" s="36"/>
      <c r="G949" s="2"/>
      <c r="H949" s="2"/>
      <c r="I949" s="2"/>
      <c r="J949" s="2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</row>
    <row r="950" ht="15.75" customHeight="1">
      <c r="A950" s="36"/>
      <c r="B950" s="36"/>
      <c r="C950" s="2"/>
      <c r="D950" s="36"/>
      <c r="E950" s="36"/>
      <c r="F950" s="36"/>
      <c r="G950" s="2"/>
      <c r="H950" s="2"/>
      <c r="I950" s="2"/>
      <c r="J950" s="2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</row>
    <row r="951" ht="15.75" customHeight="1">
      <c r="A951" s="36"/>
      <c r="B951" s="36"/>
      <c r="C951" s="2"/>
      <c r="D951" s="36"/>
      <c r="E951" s="36"/>
      <c r="F951" s="36"/>
      <c r="G951" s="2"/>
      <c r="H951" s="2"/>
      <c r="I951" s="2"/>
      <c r="J951" s="2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</row>
    <row r="952" ht="15.75" customHeight="1">
      <c r="A952" s="36"/>
      <c r="B952" s="36"/>
      <c r="C952" s="2"/>
      <c r="D952" s="36"/>
      <c r="E952" s="36"/>
      <c r="F952" s="36"/>
      <c r="G952" s="2"/>
      <c r="H952" s="2"/>
      <c r="I952" s="2"/>
      <c r="J952" s="2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</row>
    <row r="953" ht="15.75" customHeight="1">
      <c r="A953" s="36"/>
      <c r="B953" s="36"/>
      <c r="C953" s="2"/>
      <c r="D953" s="36"/>
      <c r="E953" s="36"/>
      <c r="F953" s="36"/>
      <c r="G953" s="2"/>
      <c r="H953" s="2"/>
      <c r="I953" s="2"/>
      <c r="J953" s="2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</row>
    <row r="954" ht="15.75" customHeight="1">
      <c r="A954" s="36"/>
      <c r="B954" s="36"/>
      <c r="C954" s="2"/>
      <c r="D954" s="36"/>
      <c r="E954" s="36"/>
      <c r="F954" s="36"/>
      <c r="G954" s="2"/>
      <c r="H954" s="2"/>
      <c r="I954" s="2"/>
      <c r="J954" s="2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</row>
    <row r="955" ht="15.75" customHeight="1">
      <c r="A955" s="36"/>
      <c r="B955" s="36"/>
      <c r="C955" s="2"/>
      <c r="D955" s="36"/>
      <c r="E955" s="36"/>
      <c r="F955" s="36"/>
      <c r="G955" s="2"/>
      <c r="H955" s="2"/>
      <c r="I955" s="2"/>
      <c r="J955" s="2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</row>
    <row r="956" ht="15.75" customHeight="1">
      <c r="A956" s="36"/>
      <c r="B956" s="36"/>
      <c r="C956" s="2"/>
      <c r="D956" s="36"/>
      <c r="E956" s="36"/>
      <c r="F956" s="36"/>
      <c r="G956" s="2"/>
      <c r="H956" s="2"/>
      <c r="I956" s="2"/>
      <c r="J956" s="2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</row>
    <row r="957" ht="15.75" customHeight="1">
      <c r="A957" s="36"/>
      <c r="B957" s="36"/>
      <c r="C957" s="2"/>
      <c r="D957" s="36"/>
      <c r="E957" s="36"/>
      <c r="F957" s="36"/>
      <c r="G957" s="2"/>
      <c r="H957" s="2"/>
      <c r="I957" s="2"/>
      <c r="J957" s="2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</row>
    <row r="958" ht="15.75" customHeight="1">
      <c r="A958" s="36"/>
      <c r="B958" s="36"/>
      <c r="C958" s="2"/>
      <c r="D958" s="36"/>
      <c r="E958" s="36"/>
      <c r="F958" s="36"/>
      <c r="G958" s="2"/>
      <c r="H958" s="2"/>
      <c r="I958" s="2"/>
      <c r="J958" s="2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</row>
    <row r="959" ht="15.75" customHeight="1">
      <c r="A959" s="36"/>
      <c r="B959" s="36"/>
      <c r="C959" s="2"/>
      <c r="D959" s="36"/>
      <c r="E959" s="36"/>
      <c r="F959" s="36"/>
      <c r="G959" s="2"/>
      <c r="H959" s="2"/>
      <c r="I959" s="2"/>
      <c r="J959" s="2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</row>
    <row r="960" ht="15.75" customHeight="1">
      <c r="A960" s="36"/>
      <c r="B960" s="36"/>
      <c r="C960" s="2"/>
      <c r="D960" s="36"/>
      <c r="E960" s="36"/>
      <c r="F960" s="36"/>
      <c r="G960" s="2"/>
      <c r="H960" s="2"/>
      <c r="I960" s="2"/>
      <c r="J960" s="2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</row>
    <row r="961" ht="15.75" customHeight="1">
      <c r="A961" s="36"/>
      <c r="B961" s="36"/>
      <c r="C961" s="2"/>
      <c r="D961" s="36"/>
      <c r="E961" s="36"/>
      <c r="F961" s="36"/>
      <c r="G961" s="2"/>
      <c r="H961" s="2"/>
      <c r="I961" s="2"/>
      <c r="J961" s="2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</row>
    <row r="962" ht="15.75" customHeight="1">
      <c r="A962" s="36"/>
      <c r="B962" s="36"/>
      <c r="C962" s="2"/>
      <c r="D962" s="36"/>
      <c r="E962" s="36"/>
      <c r="F962" s="36"/>
      <c r="G962" s="2"/>
      <c r="H962" s="2"/>
      <c r="I962" s="2"/>
      <c r="J962" s="2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</row>
    <row r="963" ht="15.75" customHeight="1">
      <c r="A963" s="36"/>
      <c r="B963" s="36"/>
      <c r="C963" s="2"/>
      <c r="D963" s="36"/>
      <c r="E963" s="36"/>
      <c r="F963" s="36"/>
      <c r="G963" s="2"/>
      <c r="H963" s="2"/>
      <c r="I963" s="2"/>
      <c r="J963" s="2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</row>
    <row r="964" ht="15.75" customHeight="1">
      <c r="A964" s="36"/>
      <c r="B964" s="36"/>
      <c r="C964" s="2"/>
      <c r="D964" s="36"/>
      <c r="E964" s="36"/>
      <c r="F964" s="36"/>
      <c r="G964" s="2"/>
      <c r="H964" s="2"/>
      <c r="I964" s="2"/>
      <c r="J964" s="2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</row>
    <row r="965" ht="15.75" customHeight="1">
      <c r="A965" s="36"/>
      <c r="B965" s="36"/>
      <c r="C965" s="2"/>
      <c r="D965" s="36"/>
      <c r="E965" s="36"/>
      <c r="F965" s="36"/>
      <c r="G965" s="2"/>
      <c r="H965" s="2"/>
      <c r="I965" s="2"/>
      <c r="J965" s="2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</row>
    <row r="966" ht="15.75" customHeight="1">
      <c r="A966" s="36"/>
      <c r="B966" s="36"/>
      <c r="C966" s="2"/>
      <c r="D966" s="36"/>
      <c r="E966" s="36"/>
      <c r="F966" s="36"/>
      <c r="G966" s="2"/>
      <c r="H966" s="2"/>
      <c r="I966" s="2"/>
      <c r="J966" s="2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</row>
    <row r="967" ht="15.75" customHeight="1">
      <c r="A967" s="36"/>
      <c r="B967" s="36"/>
      <c r="C967" s="2"/>
      <c r="D967" s="36"/>
      <c r="E967" s="36"/>
      <c r="F967" s="36"/>
      <c r="G967" s="2"/>
      <c r="H967" s="2"/>
      <c r="I967" s="2"/>
      <c r="J967" s="2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</row>
    <row r="968" ht="15.75" customHeight="1">
      <c r="A968" s="36"/>
      <c r="B968" s="36"/>
      <c r="C968" s="2"/>
      <c r="D968" s="36"/>
      <c r="E968" s="36"/>
      <c r="F968" s="36"/>
      <c r="G968" s="2"/>
      <c r="H968" s="2"/>
      <c r="I968" s="2"/>
      <c r="J968" s="2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</row>
    <row r="969" ht="15.75" customHeight="1">
      <c r="A969" s="36"/>
      <c r="B969" s="36"/>
      <c r="C969" s="2"/>
      <c r="D969" s="36"/>
      <c r="E969" s="36"/>
      <c r="F969" s="36"/>
      <c r="G969" s="2"/>
      <c r="H969" s="2"/>
      <c r="I969" s="2"/>
      <c r="J969" s="2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</row>
    <row r="970" ht="15.75" customHeight="1">
      <c r="A970" s="36"/>
      <c r="B970" s="36"/>
      <c r="C970" s="2"/>
      <c r="D970" s="36"/>
      <c r="E970" s="36"/>
      <c r="F970" s="36"/>
      <c r="G970" s="2"/>
      <c r="H970" s="2"/>
      <c r="I970" s="2"/>
      <c r="J970" s="2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</row>
    <row r="971" ht="15.75" customHeight="1">
      <c r="A971" s="36"/>
      <c r="B971" s="36"/>
      <c r="C971" s="2"/>
      <c r="D971" s="36"/>
      <c r="E971" s="36"/>
      <c r="F971" s="36"/>
      <c r="G971" s="2"/>
      <c r="H971" s="2"/>
      <c r="I971" s="2"/>
      <c r="J971" s="2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</row>
    <row r="972" ht="15.75" customHeight="1">
      <c r="A972" s="36"/>
      <c r="B972" s="36"/>
      <c r="C972" s="2"/>
      <c r="D972" s="36"/>
      <c r="E972" s="36"/>
      <c r="F972" s="36"/>
      <c r="G972" s="2"/>
      <c r="H972" s="2"/>
      <c r="I972" s="2"/>
      <c r="J972" s="2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</row>
    <row r="973" ht="15.75" customHeight="1">
      <c r="A973" s="36"/>
      <c r="B973" s="36"/>
      <c r="C973" s="2"/>
      <c r="D973" s="36"/>
      <c r="E973" s="36"/>
      <c r="F973" s="36"/>
      <c r="G973" s="2"/>
      <c r="H973" s="2"/>
      <c r="I973" s="2"/>
      <c r="J973" s="2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</row>
    <row r="974" ht="15.75" customHeight="1">
      <c r="A974" s="36"/>
      <c r="B974" s="36"/>
      <c r="C974" s="2"/>
      <c r="D974" s="36"/>
      <c r="E974" s="36"/>
      <c r="F974" s="36"/>
      <c r="G974" s="2"/>
      <c r="H974" s="2"/>
      <c r="I974" s="2"/>
      <c r="J974" s="2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</row>
    <row r="975" ht="15.75" customHeight="1">
      <c r="A975" s="36"/>
      <c r="B975" s="36"/>
      <c r="C975" s="2"/>
      <c r="D975" s="36"/>
      <c r="E975" s="36"/>
      <c r="F975" s="36"/>
      <c r="G975" s="2"/>
      <c r="H975" s="2"/>
      <c r="I975" s="2"/>
      <c r="J975" s="2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</row>
    <row r="976" ht="15.75" customHeight="1">
      <c r="A976" s="36"/>
      <c r="B976" s="36"/>
      <c r="C976" s="2"/>
      <c r="D976" s="36"/>
      <c r="E976" s="36"/>
      <c r="F976" s="36"/>
      <c r="G976" s="2"/>
      <c r="H976" s="2"/>
      <c r="I976" s="2"/>
      <c r="J976" s="2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</row>
    <row r="977" ht="15.75" customHeight="1">
      <c r="A977" s="36"/>
      <c r="B977" s="36"/>
      <c r="C977" s="2"/>
      <c r="D977" s="36"/>
      <c r="E977" s="36"/>
      <c r="F977" s="36"/>
      <c r="G977" s="2"/>
      <c r="H977" s="2"/>
      <c r="I977" s="2"/>
      <c r="J977" s="2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</row>
    <row r="978" ht="15.75" customHeight="1">
      <c r="A978" s="36"/>
      <c r="B978" s="36"/>
      <c r="C978" s="2"/>
      <c r="D978" s="36"/>
      <c r="E978" s="36"/>
      <c r="F978" s="36"/>
      <c r="G978" s="2"/>
      <c r="H978" s="2"/>
      <c r="I978" s="2"/>
      <c r="J978" s="2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</row>
    <row r="979" ht="15.75" customHeight="1">
      <c r="A979" s="36"/>
      <c r="B979" s="36"/>
      <c r="C979" s="2"/>
      <c r="D979" s="36"/>
      <c r="E979" s="36"/>
      <c r="F979" s="36"/>
      <c r="G979" s="2"/>
      <c r="H979" s="2"/>
      <c r="I979" s="2"/>
      <c r="J979" s="2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</row>
    <row r="980" ht="15.75" customHeight="1">
      <c r="A980" s="36"/>
      <c r="B980" s="36"/>
      <c r="C980" s="2"/>
      <c r="D980" s="36"/>
      <c r="E980" s="36"/>
      <c r="F980" s="36"/>
      <c r="G980" s="2"/>
      <c r="H980" s="2"/>
      <c r="I980" s="2"/>
      <c r="J980" s="2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</row>
    <row r="981" ht="15.75" customHeight="1">
      <c r="A981" s="36"/>
      <c r="B981" s="36"/>
      <c r="C981" s="2"/>
      <c r="D981" s="36"/>
      <c r="E981" s="36"/>
      <c r="F981" s="36"/>
      <c r="G981" s="2"/>
      <c r="H981" s="2"/>
      <c r="I981" s="2"/>
      <c r="J981" s="2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</row>
    <row r="982" ht="15.75" customHeight="1">
      <c r="A982" s="36"/>
      <c r="B982" s="36"/>
      <c r="C982" s="2"/>
      <c r="D982" s="36"/>
      <c r="E982" s="36"/>
      <c r="F982" s="36"/>
      <c r="G982" s="2"/>
      <c r="H982" s="2"/>
      <c r="I982" s="2"/>
      <c r="J982" s="2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</row>
    <row r="983" ht="15.75" customHeight="1">
      <c r="A983" s="36"/>
      <c r="B983" s="36"/>
      <c r="C983" s="2"/>
      <c r="D983" s="36"/>
      <c r="E983" s="36"/>
      <c r="F983" s="36"/>
      <c r="G983" s="2"/>
      <c r="H983" s="2"/>
      <c r="I983" s="2"/>
      <c r="J983" s="2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</row>
    <row r="984" ht="15.75" customHeight="1">
      <c r="A984" s="36"/>
      <c r="B984" s="36"/>
      <c r="C984" s="2"/>
      <c r="D984" s="36"/>
      <c r="E984" s="36"/>
      <c r="F984" s="36"/>
      <c r="G984" s="2"/>
      <c r="H984" s="2"/>
      <c r="I984" s="2"/>
      <c r="J984" s="2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</row>
    <row r="985" ht="15.75" customHeight="1">
      <c r="A985" s="36"/>
      <c r="B985" s="36"/>
      <c r="C985" s="2"/>
      <c r="D985" s="36"/>
      <c r="E985" s="36"/>
      <c r="F985" s="36"/>
      <c r="G985" s="2"/>
      <c r="H985" s="2"/>
      <c r="I985" s="2"/>
      <c r="J985" s="2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</row>
    <row r="986" ht="15.75" customHeight="1">
      <c r="A986" s="36"/>
      <c r="B986" s="36"/>
      <c r="C986" s="2"/>
      <c r="D986" s="36"/>
      <c r="E986" s="36"/>
      <c r="F986" s="36"/>
      <c r="G986" s="2"/>
      <c r="H986" s="2"/>
      <c r="I986" s="2"/>
      <c r="J986" s="2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</row>
    <row r="987" ht="15.75" customHeight="1">
      <c r="A987" s="36"/>
      <c r="B987" s="36"/>
      <c r="C987" s="2"/>
      <c r="D987" s="36"/>
      <c r="E987" s="36"/>
      <c r="F987" s="36"/>
      <c r="G987" s="2"/>
      <c r="H987" s="2"/>
      <c r="I987" s="2"/>
      <c r="J987" s="2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</row>
    <row r="988" ht="15.75" customHeight="1">
      <c r="A988" s="36"/>
      <c r="B988" s="36"/>
      <c r="C988" s="2"/>
      <c r="D988" s="36"/>
      <c r="E988" s="36"/>
      <c r="F988" s="36"/>
      <c r="G988" s="2"/>
      <c r="H988" s="2"/>
      <c r="I988" s="2"/>
      <c r="J988" s="2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</row>
    <row r="989" ht="15.75" customHeight="1">
      <c r="A989" s="36"/>
      <c r="B989" s="36"/>
      <c r="C989" s="2"/>
      <c r="D989" s="36"/>
      <c r="E989" s="36"/>
      <c r="F989" s="36"/>
      <c r="G989" s="2"/>
      <c r="H989" s="2"/>
      <c r="I989" s="2"/>
      <c r="J989" s="2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</row>
    <row r="990" ht="15.75" customHeight="1">
      <c r="A990" s="36"/>
      <c r="B990" s="36"/>
      <c r="C990" s="2"/>
      <c r="D990" s="36"/>
      <c r="E990" s="36"/>
      <c r="F990" s="36"/>
      <c r="G990" s="2"/>
      <c r="H990" s="2"/>
      <c r="I990" s="2"/>
      <c r="J990" s="2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</row>
    <row r="991" ht="15.75" customHeight="1">
      <c r="A991" s="36"/>
      <c r="B991" s="36"/>
      <c r="C991" s="2"/>
      <c r="D991" s="36"/>
      <c r="E991" s="36"/>
      <c r="F991" s="36"/>
      <c r="G991" s="2"/>
      <c r="H991" s="2"/>
      <c r="I991" s="2"/>
      <c r="J991" s="2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</row>
    <row r="992" ht="15.75" customHeight="1">
      <c r="A992" s="36"/>
      <c r="B992" s="36"/>
      <c r="C992" s="2"/>
      <c r="D992" s="36"/>
      <c r="E992" s="36"/>
      <c r="F992" s="36"/>
      <c r="G992" s="2"/>
      <c r="H992" s="2"/>
      <c r="I992" s="2"/>
      <c r="J992" s="2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</row>
    <row r="993" ht="15.75" customHeight="1">
      <c r="A993" s="36"/>
      <c r="B993" s="36"/>
      <c r="C993" s="2"/>
      <c r="D993" s="36"/>
      <c r="E993" s="36"/>
      <c r="F993" s="36"/>
      <c r="G993" s="2"/>
      <c r="H993" s="2"/>
      <c r="I993" s="2"/>
      <c r="J993" s="2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</row>
    <row r="994" ht="15.75" customHeight="1">
      <c r="A994" s="36"/>
      <c r="B994" s="36"/>
      <c r="C994" s="2"/>
      <c r="D994" s="36"/>
      <c r="E994" s="36"/>
      <c r="F994" s="36"/>
      <c r="G994" s="2"/>
      <c r="H994" s="2"/>
      <c r="I994" s="2"/>
      <c r="J994" s="2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</row>
    <row r="995" ht="15.75" customHeight="1">
      <c r="A995" s="36"/>
      <c r="B995" s="36"/>
      <c r="C995" s="2"/>
      <c r="D995" s="36"/>
      <c r="E995" s="36"/>
      <c r="F995" s="36"/>
      <c r="G995" s="2"/>
      <c r="H995" s="2"/>
      <c r="I995" s="2"/>
      <c r="J995" s="2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</row>
    <row r="996" ht="15.75" customHeight="1">
      <c r="A996" s="36"/>
      <c r="B996" s="36"/>
      <c r="C996" s="2"/>
      <c r="D996" s="36"/>
      <c r="E996" s="36"/>
      <c r="F996" s="36"/>
      <c r="G996" s="2"/>
      <c r="H996" s="2"/>
      <c r="I996" s="2"/>
      <c r="J996" s="2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</row>
    <row r="997" ht="15.75" customHeight="1">
      <c r="A997" s="36"/>
      <c r="B997" s="36"/>
      <c r="C997" s="2"/>
      <c r="D997" s="36"/>
      <c r="E997" s="36"/>
      <c r="F997" s="36"/>
      <c r="G997" s="2"/>
      <c r="H997" s="2"/>
      <c r="I997" s="2"/>
      <c r="J997" s="2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</row>
    <row r="998" ht="15.75" customHeight="1">
      <c r="A998" s="36"/>
      <c r="B998" s="36"/>
      <c r="C998" s="2"/>
      <c r="D998" s="36"/>
      <c r="E998" s="36"/>
      <c r="F998" s="36"/>
      <c r="G998" s="2"/>
      <c r="H998" s="2"/>
      <c r="I998" s="2"/>
      <c r="J998" s="2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</row>
    <row r="999" ht="15.75" customHeight="1">
      <c r="A999" s="36"/>
      <c r="B999" s="36"/>
      <c r="C999" s="2"/>
      <c r="D999" s="36"/>
      <c r="E999" s="36"/>
      <c r="F999" s="36"/>
      <c r="G999" s="2"/>
      <c r="H999" s="2"/>
      <c r="I999" s="2"/>
      <c r="J999" s="2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</row>
    <row r="1000" ht="15.75" customHeight="1">
      <c r="A1000" s="36"/>
      <c r="B1000" s="36"/>
      <c r="C1000" s="2"/>
      <c r="D1000" s="36"/>
      <c r="E1000" s="36"/>
      <c r="F1000" s="36"/>
      <c r="G1000" s="2"/>
      <c r="H1000" s="2"/>
      <c r="I1000" s="2"/>
      <c r="J1000" s="2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</row>
  </sheetData>
  <autoFilter ref="$A$1:$Y$319"/>
  <conditionalFormatting sqref="I1:J1000 H2:H319">
    <cfRule type="expression" dxfId="0" priority="1">
      <formula>NOT(EXACT(TRIM(#REF!), TRIM($H1)))</formula>
    </cfRule>
  </conditionalFormatting>
  <hyperlinks>
    <hyperlink r:id="rId1" ref="E2"/>
    <hyperlink r:id="rId2" ref="B13"/>
    <hyperlink r:id="rId3" ref="E28"/>
    <hyperlink r:id="rId4" ref="E29"/>
    <hyperlink r:id="rId5" ref="E30"/>
    <hyperlink r:id="rId6" ref="E31"/>
    <hyperlink r:id="rId7" ref="E32"/>
    <hyperlink r:id="rId8" ref="E33"/>
    <hyperlink r:id="rId9" ref="E34"/>
    <hyperlink r:id="rId10" ref="E35"/>
    <hyperlink r:id="rId11" ref="E40"/>
    <hyperlink r:id="rId12" ref="E41"/>
    <hyperlink r:id="rId13" ref="E42"/>
    <hyperlink r:id="rId14" ref="E43"/>
    <hyperlink r:id="rId15" ref="E44"/>
    <hyperlink r:id="rId16" ref="E45"/>
    <hyperlink r:id="rId17" ref="E46"/>
    <hyperlink r:id="rId18" ref="E47"/>
    <hyperlink r:id="rId19" ref="E48"/>
    <hyperlink r:id="rId20" ref="E49"/>
    <hyperlink r:id="rId21" ref="E50"/>
    <hyperlink r:id="rId22" ref="E51"/>
    <hyperlink r:id="rId23" ref="E52"/>
    <hyperlink r:id="rId24" ref="E53"/>
    <hyperlink r:id="rId25" ref="E54"/>
    <hyperlink r:id="rId26" ref="E55"/>
    <hyperlink r:id="rId27" ref="E56"/>
    <hyperlink r:id="rId28" ref="E57"/>
    <hyperlink r:id="rId29" ref="E63"/>
    <hyperlink r:id="rId30" ref="E68"/>
    <hyperlink r:id="rId31" ref="E99"/>
    <hyperlink r:id="rId32" ref="E108"/>
    <hyperlink r:id="rId33" ref="E109"/>
    <hyperlink r:id="rId34" ref="E110"/>
    <hyperlink r:id="rId35" ref="E111"/>
    <hyperlink r:id="rId36" ref="E118"/>
    <hyperlink r:id="rId37" ref="E121"/>
    <hyperlink r:id="rId38" ref="E123"/>
    <hyperlink r:id="rId39" ref="E149"/>
    <hyperlink r:id="rId40" ref="E151"/>
    <hyperlink r:id="rId41" ref="E158"/>
    <hyperlink r:id="rId42" ref="E170"/>
    <hyperlink r:id="rId43" ref="E171"/>
    <hyperlink r:id="rId44" ref="E174"/>
    <hyperlink r:id="rId45" ref="E175"/>
    <hyperlink r:id="rId46" ref="E176"/>
    <hyperlink r:id="rId47" ref="E177"/>
    <hyperlink r:id="rId48" ref="E178"/>
    <hyperlink r:id="rId49" ref="E179"/>
    <hyperlink r:id="rId50" ref="E180"/>
    <hyperlink r:id="rId51" ref="E181"/>
    <hyperlink r:id="rId52" ref="E182"/>
    <hyperlink r:id="rId53" ref="D183"/>
    <hyperlink r:id="rId54" ref="E183"/>
    <hyperlink r:id="rId55" ref="D186"/>
    <hyperlink r:id="rId56" ref="E186"/>
    <hyperlink r:id="rId57" ref="D188"/>
    <hyperlink r:id="rId58" ref="E188"/>
    <hyperlink r:id="rId59" ref="D189"/>
    <hyperlink r:id="rId60" ref="E189"/>
    <hyperlink r:id="rId61" ref="E192"/>
    <hyperlink r:id="rId62" ref="E194"/>
    <hyperlink r:id="rId63" ref="E195"/>
    <hyperlink r:id="rId64" ref="E203"/>
    <hyperlink r:id="rId65" ref="E217"/>
    <hyperlink r:id="rId66" ref="E225"/>
    <hyperlink r:id="rId67" ref="E240"/>
    <hyperlink r:id="rId68" ref="E242"/>
    <hyperlink r:id="rId69" ref="E243"/>
    <hyperlink r:id="rId70" ref="E244"/>
    <hyperlink r:id="rId71" ref="E245"/>
    <hyperlink r:id="rId72" ref="E246"/>
    <hyperlink r:id="rId73" ref="E254"/>
    <hyperlink r:id="rId74" ref="E255"/>
    <hyperlink r:id="rId75" ref="E256"/>
    <hyperlink r:id="rId76" ref="E267"/>
    <hyperlink r:id="rId77" ref="E278"/>
    <hyperlink r:id="rId78" ref="E279"/>
    <hyperlink r:id="rId79" ref="E280"/>
    <hyperlink r:id="rId80" ref="E285"/>
    <hyperlink r:id="rId81" ref="E292"/>
    <hyperlink r:id="rId82" ref="E293"/>
    <hyperlink r:id="rId83" ref="E298"/>
    <hyperlink r:id="rId84" ref="E299"/>
    <hyperlink r:id="rId85" ref="E300"/>
    <hyperlink r:id="rId86" ref="E301"/>
    <hyperlink r:id="rId87" ref="E302"/>
    <hyperlink r:id="rId88" ref="E303"/>
    <hyperlink r:id="rId89" ref="E304"/>
    <hyperlink r:id="rId90" ref="E305"/>
    <hyperlink r:id="rId91" ref="E310"/>
    <hyperlink r:id="rId92" ref="D314"/>
    <hyperlink r:id="rId93" ref="E314"/>
  </hyperlinks>
  <printOptions/>
  <pageMargins bottom="1.0" footer="0.0" header="0.0" left="0.75" right="0.75" top="1.0"/>
  <pageSetup orientation="landscape"/>
  <drawing r:id="rId9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1.5"/>
    <col customWidth="1" min="2" max="2" width="20.75"/>
    <col customWidth="1" min="3" max="3" width="47.0"/>
    <col customWidth="1" min="4" max="4" width="32.5"/>
    <col customWidth="1" min="5" max="5" width="18.13"/>
    <col customWidth="1" min="6" max="6" width="12.63"/>
  </cols>
  <sheetData>
    <row r="1">
      <c r="A1" s="3" t="s">
        <v>2</v>
      </c>
      <c r="B1" s="3" t="s">
        <v>15</v>
      </c>
      <c r="C1" s="3" t="s">
        <v>21</v>
      </c>
      <c r="D1" s="3" t="s">
        <v>23</v>
      </c>
      <c r="E1" s="3" t="s">
        <v>24</v>
      </c>
      <c r="F1" s="5" t="s">
        <v>27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29</v>
      </c>
      <c r="B2" s="10">
        <v>2.54102168E8</v>
      </c>
      <c r="C2" s="3" t="s">
        <v>30</v>
      </c>
      <c r="D2" s="13" t="s">
        <v>31</v>
      </c>
      <c r="E2" s="3" t="s">
        <v>37</v>
      </c>
      <c r="F2" s="3" t="str">
        <f>IF(E2="", "", IF(ISNUMBER(_xlfn.XMATCH(E2, 'Champions Sheet'!H:H)), "Found in Master", "MISSING in Alicia's"))</f>
        <v>MISSING in Alicia's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46</v>
      </c>
      <c r="B3" s="10">
        <v>2.55775667E8</v>
      </c>
      <c r="C3" s="3" t="s">
        <v>49</v>
      </c>
      <c r="D3" s="13" t="s">
        <v>51</v>
      </c>
      <c r="E3" s="3" t="s">
        <v>58</v>
      </c>
      <c r="F3" s="3" t="str">
        <f>IF(E3="", "", IF(ISNUMBER(_xlfn.XMATCH(E3, 'Champions Sheet'!H:H)), "Found in Master", "MISSING in Alicia's"))</f>
        <v>MISSING in Alicia's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69</v>
      </c>
      <c r="B4" s="10">
        <v>2.58064736E8</v>
      </c>
      <c r="C4" s="3" t="s">
        <v>70</v>
      </c>
      <c r="D4" s="13" t="s">
        <v>71</v>
      </c>
      <c r="E4" s="3" t="s">
        <v>78</v>
      </c>
      <c r="F4" s="3" t="str">
        <f>IF(E4="", "", IF(ISNUMBER(_xlfn.XMATCH(E4, 'Champions Sheet'!H:H)), "Found in Master", "MISSING in Alicia's"))</f>
        <v>MISSING in Alicia's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87</v>
      </c>
      <c r="B5" s="10">
        <v>2.63913003E8</v>
      </c>
      <c r="C5" s="3" t="s">
        <v>88</v>
      </c>
      <c r="D5" s="13" t="s">
        <v>90</v>
      </c>
      <c r="E5" s="3" t="s">
        <v>108</v>
      </c>
      <c r="F5" s="3" t="str">
        <f>IF(E5="", "", IF(ISNUMBER(_xlfn.XMATCH(E5, 'Champions Sheet'!H:H)), "Found in Master", "MISSING in Alicia's"))</f>
        <v>MISSING in Alicia's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133</v>
      </c>
      <c r="B6" s="10">
        <v>2.68026917E8</v>
      </c>
      <c r="C6" s="3" t="s">
        <v>137</v>
      </c>
      <c r="D6" s="13" t="s">
        <v>138</v>
      </c>
      <c r="E6" s="3" t="s">
        <v>150</v>
      </c>
      <c r="F6" s="3" t="str">
        <f>IF(E6="", "", IF(ISNUMBER(_xlfn.XMATCH(E6, 'Champions Sheet'!H:H)), "Found in Master", "MISSING in Alicia's"))</f>
        <v>MISSING in Alicia's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156</v>
      </c>
      <c r="B7" s="10">
        <v>2.70736262E8</v>
      </c>
      <c r="C7" s="3" t="s">
        <v>157</v>
      </c>
      <c r="D7" s="13" t="s">
        <v>158</v>
      </c>
      <c r="E7" s="3" t="s">
        <v>168</v>
      </c>
      <c r="F7" s="3" t="str">
        <f>IF(E7="", "", IF(ISNUMBER(_xlfn.XMATCH(E7, 'Champions Sheet'!H:H)), "Found in Master", "MISSING in Alicia's"))</f>
        <v>Found in Master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180</v>
      </c>
      <c r="B8" s="10">
        <v>2.71285752E8</v>
      </c>
      <c r="C8" s="3" t="s">
        <v>182</v>
      </c>
      <c r="D8" s="13" t="s">
        <v>184</v>
      </c>
      <c r="E8" s="3" t="s">
        <v>186</v>
      </c>
      <c r="F8" s="3" t="str">
        <f>IF(E8="", "", IF(ISNUMBER(_xlfn.XMATCH(E8, 'Champions Sheet'!H:H)), "Found in Master", "MISSING in Alicia's"))</f>
        <v>MISSING in Alicia's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146</v>
      </c>
      <c r="B9" s="10">
        <v>2.72286753E8</v>
      </c>
      <c r="C9" s="3" t="s">
        <v>146</v>
      </c>
      <c r="D9" s="13" t="s">
        <v>144</v>
      </c>
      <c r="E9" s="3" t="s">
        <v>145</v>
      </c>
      <c r="F9" s="3" t="str">
        <f>IF(E9="", "", IF(ISNUMBER(_xlfn.XMATCH(E9, 'Champions Sheet'!H:H)), "Found in Master", "MISSING in Alicia's"))</f>
        <v>MISSING in Alicia's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75</v>
      </c>
      <c r="B10" s="10">
        <v>2.72291754E8</v>
      </c>
      <c r="C10" s="3" t="s">
        <v>202</v>
      </c>
      <c r="D10" s="13" t="s">
        <v>203</v>
      </c>
      <c r="E10" s="3" t="s">
        <v>74</v>
      </c>
      <c r="F10" s="3" t="str">
        <f>IF(E10="", "", IF(ISNUMBER(_xlfn.XMATCH(E10, 'Champions Sheet'!H:H)), "Found in Master", "MISSING in Alicia's"))</f>
        <v>Found in Master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224</v>
      </c>
      <c r="B11" s="10">
        <v>2.72372086E8</v>
      </c>
      <c r="C11" s="3" t="s">
        <v>225</v>
      </c>
      <c r="D11" s="13" t="s">
        <v>226</v>
      </c>
      <c r="E11" s="3" t="s">
        <v>237</v>
      </c>
      <c r="F11" s="3" t="str">
        <f>IF(E11="", "", IF(ISNUMBER(_xlfn.XMATCH(E11, 'Champions Sheet'!H:H)), "Found in Master", "MISSING in Alicia's"))</f>
        <v>Found in Master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246</v>
      </c>
      <c r="B12" s="10">
        <v>2.77811441E8</v>
      </c>
      <c r="C12" s="3" t="s">
        <v>248</v>
      </c>
      <c r="D12" s="13" t="s">
        <v>250</v>
      </c>
      <c r="E12" s="3" t="s">
        <v>259</v>
      </c>
      <c r="F12" s="3" t="str">
        <f>IF(E12="", "", IF(ISNUMBER(_xlfn.XMATCH(E12, 'Champions Sheet'!H:H)), "Found in Master", "MISSING in Alicia's"))</f>
        <v>MISSING in Alicia's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265</v>
      </c>
      <c r="B13" s="10">
        <v>2.79127117E8</v>
      </c>
      <c r="C13" s="3" t="s">
        <v>266</v>
      </c>
      <c r="D13" s="13" t="s">
        <v>267</v>
      </c>
      <c r="E13" s="3" t="s">
        <v>275</v>
      </c>
      <c r="F13" s="3" t="str">
        <f>IF(E13="", "", IF(ISNUMBER(_xlfn.XMATCH(E13, 'Champions Sheet'!H:H)), "Found in Master", "MISSING in Alicia's"))</f>
        <v>MISSING in Alicia's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279</v>
      </c>
      <c r="B14" s="10">
        <v>2.85499201E8</v>
      </c>
      <c r="C14" s="3" t="s">
        <v>280</v>
      </c>
      <c r="D14" s="13" t="s">
        <v>281</v>
      </c>
      <c r="E14" s="3" t="s">
        <v>289</v>
      </c>
      <c r="F14" s="3" t="str">
        <f>IF(E14="", "", IF(ISNUMBER(_xlfn.XMATCH(E14, 'Champions Sheet'!H:H)), "Found in Master", "MISSING in Alicia's"))</f>
        <v>MISSING in Alicia's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279</v>
      </c>
      <c r="B15" s="10">
        <v>2.85499201E8</v>
      </c>
      <c r="C15" s="3" t="s">
        <v>296</v>
      </c>
      <c r="D15" s="13" t="s">
        <v>298</v>
      </c>
      <c r="E15" s="3" t="s">
        <v>300</v>
      </c>
      <c r="F15" s="3" t="str">
        <f>IF(E15="", "", IF(ISNUMBER(_xlfn.XMATCH(E15, 'Champions Sheet'!H:H)), "Found in Master", "MISSING in Alicia's"))</f>
        <v>MISSING in Alicia's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308</v>
      </c>
      <c r="B16" s="10">
        <v>2.85630746E8</v>
      </c>
      <c r="C16" s="3" t="s">
        <v>309</v>
      </c>
      <c r="D16" s="13" t="s">
        <v>310</v>
      </c>
      <c r="E16" s="3" t="s">
        <v>318</v>
      </c>
      <c r="F16" s="3" t="str">
        <f>IF(E16="", "", IF(ISNUMBER(_xlfn.XMATCH(E16, 'Champions Sheet'!H:H)), "Found in Master", "MISSING in Alicia's"))</f>
        <v>Found in Master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326</v>
      </c>
      <c r="B17" s="10">
        <v>2.86426397E8</v>
      </c>
      <c r="C17" s="3" t="s">
        <v>327</v>
      </c>
      <c r="D17" s="13" t="s">
        <v>329</v>
      </c>
      <c r="E17" s="3" t="s">
        <v>330</v>
      </c>
      <c r="F17" s="3" t="str">
        <f>IF(E17="", "", IF(ISNUMBER(_xlfn.XMATCH(E17, 'Champions Sheet'!H:H)), "Found in Master", "MISSING in Alicia's"))</f>
        <v>MISSING in Alicia's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336</v>
      </c>
      <c r="B18" s="10">
        <v>2.91228599E8</v>
      </c>
      <c r="C18" s="3" t="s">
        <v>337</v>
      </c>
      <c r="D18" s="13" t="s">
        <v>338</v>
      </c>
      <c r="E18" s="3" t="s">
        <v>341</v>
      </c>
      <c r="F18" s="3" t="str">
        <f>IF(E18="", "", IF(ISNUMBER(_xlfn.XMATCH(E18, 'Champions Sheet'!H:H)), "Found in Master", "MISSING in Alicia's"))</f>
        <v>MISSING in Alicia's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344</v>
      </c>
      <c r="B19" s="10">
        <v>2.91918131E8</v>
      </c>
      <c r="C19" s="3" t="s">
        <v>344</v>
      </c>
      <c r="D19" s="13" t="s">
        <v>345</v>
      </c>
      <c r="E19" s="3" t="s">
        <v>349</v>
      </c>
      <c r="F19" s="3" t="str">
        <f>IF(E19="", "", IF(ISNUMBER(_xlfn.XMATCH(E19, 'Champions Sheet'!H:H)), "Found in Master", "MISSING in Alicia's"))</f>
        <v>MISSING in Alicia's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353</v>
      </c>
      <c r="B20" s="10">
        <v>2.92096764E8</v>
      </c>
      <c r="C20" s="3" t="s">
        <v>354</v>
      </c>
      <c r="D20" s="13" t="s">
        <v>355</v>
      </c>
      <c r="E20" s="3" t="s">
        <v>369</v>
      </c>
      <c r="F20" s="3" t="str">
        <f>IF(E20="", "", IF(ISNUMBER(_xlfn.XMATCH(E20, 'Champions Sheet'!H:H)), "Found in Master", "MISSING in Alicia's"))</f>
        <v>MISSING in Alicia's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380</v>
      </c>
      <c r="B21" s="10">
        <v>2.92122016E8</v>
      </c>
      <c r="C21" s="3" t="s">
        <v>382</v>
      </c>
      <c r="D21" s="13" t="s">
        <v>390</v>
      </c>
      <c r="E21" s="3" t="s">
        <v>406</v>
      </c>
      <c r="F21" s="3" t="str">
        <f>IF(E21="", "", IF(ISNUMBER(_xlfn.XMATCH(E21, 'Champions Sheet'!H:H)), "Found in Master", "MISSING in Alicia's"))</f>
        <v>Found in Master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415</v>
      </c>
      <c r="B22" s="10">
        <v>2.92123413E8</v>
      </c>
      <c r="C22" s="3" t="s">
        <v>417</v>
      </c>
      <c r="D22" s="13" t="s">
        <v>419</v>
      </c>
      <c r="E22" s="3" t="s">
        <v>420</v>
      </c>
      <c r="F22" s="3" t="str">
        <f>IF(E22="", "", IF(ISNUMBER(_xlfn.XMATCH(E22, 'Champions Sheet'!H:H)), "Found in Master", "MISSING in Alicia's"))</f>
        <v>MISSING in Alicia's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428</v>
      </c>
      <c r="B23" s="10">
        <v>2.92130491E8</v>
      </c>
      <c r="C23" s="3" t="s">
        <v>429</v>
      </c>
      <c r="D23" s="13" t="s">
        <v>430</v>
      </c>
      <c r="E23" s="3" t="s">
        <v>433</v>
      </c>
      <c r="F23" s="3" t="str">
        <f>IF(E23="", "", IF(ISNUMBER(_xlfn.XMATCH(E23, 'Champions Sheet'!H:H)), "Found in Master", "MISSING in Alicia's"))</f>
        <v>Found in Master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436</v>
      </c>
      <c r="B24" s="10">
        <v>2.92131495E8</v>
      </c>
      <c r="C24" s="3" t="s">
        <v>437</v>
      </c>
      <c r="D24" s="13" t="s">
        <v>439</v>
      </c>
      <c r="E24" s="3" t="s">
        <v>440</v>
      </c>
      <c r="F24" s="3" t="str">
        <f>IF(E24="", "", IF(ISNUMBER(_xlfn.XMATCH(E24, 'Champions Sheet'!H:H)), "Found in Master", "MISSING in Alicia's"))</f>
        <v>Found in Master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445</v>
      </c>
      <c r="B25" s="10">
        <v>2.92783372E8</v>
      </c>
      <c r="C25" s="3" t="s">
        <v>446</v>
      </c>
      <c r="D25" s="13" t="s">
        <v>447</v>
      </c>
      <c r="E25" s="3" t="s">
        <v>454</v>
      </c>
      <c r="F25" s="3" t="str">
        <f>IF(E25="", "", IF(ISNUMBER(_xlfn.XMATCH(E25, 'Champions Sheet'!H:H)), "Found in Master", "MISSING in Alicia's"))</f>
        <v>MISSING in Alicia's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118</v>
      </c>
      <c r="B26" s="10">
        <v>2.96385598E8</v>
      </c>
      <c r="C26" s="3" t="s">
        <v>459</v>
      </c>
      <c r="D26" s="13" t="s">
        <v>116</v>
      </c>
      <c r="E26" s="3" t="s">
        <v>117</v>
      </c>
      <c r="F26" s="3" t="str">
        <f>IF(E26="", "", IF(ISNUMBER(_xlfn.XMATCH(E26, 'Champions Sheet'!H:H)), "Found in Master", "MISSING in Alicia's"))</f>
        <v>MISSING in Alicia's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468</v>
      </c>
      <c r="B27" s="10">
        <v>2.96958406E8</v>
      </c>
      <c r="C27" s="3" t="s">
        <v>469</v>
      </c>
      <c r="D27" s="13" t="s">
        <v>470</v>
      </c>
      <c r="E27" s="3" t="s">
        <v>474</v>
      </c>
      <c r="F27" s="3" t="str">
        <f>IF(E27="", "", IF(ISNUMBER(_xlfn.XMATCH(E27, 'Champions Sheet'!H:H)), "Found in Master", "MISSING in Alicia's"))</f>
        <v>MISSING in Alicia's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480</v>
      </c>
      <c r="B28" s="10">
        <v>2.97490739E8</v>
      </c>
      <c r="C28" s="3" t="s">
        <v>481</v>
      </c>
      <c r="D28" s="13" t="s">
        <v>482</v>
      </c>
      <c r="E28" s="3" t="s">
        <v>488</v>
      </c>
      <c r="F28" s="3" t="str">
        <f>IF(E28="", "", IF(ISNUMBER(_xlfn.XMATCH(E28, 'Champions Sheet'!H:H)), "Found in Master", "MISSING in Alicia's"))</f>
        <v>Found in Master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495</v>
      </c>
      <c r="B29" s="10">
        <v>2.97561243E8</v>
      </c>
      <c r="C29" s="13" t="s">
        <v>496</v>
      </c>
      <c r="D29" s="13" t="s">
        <v>505</v>
      </c>
      <c r="E29" s="3" t="s">
        <v>518</v>
      </c>
      <c r="F29" s="3" t="str">
        <f>IF(E29="", "", IF(ISNUMBER(_xlfn.XMATCH(E29, 'Champions Sheet'!H:H)), "Found in Master", "MISSING in Alicia's"))</f>
        <v>MISSING in Alicia's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524</v>
      </c>
      <c r="B30" s="10">
        <v>3.03246888E8</v>
      </c>
      <c r="C30" s="3" t="s">
        <v>526</v>
      </c>
      <c r="D30" s="13" t="s">
        <v>527</v>
      </c>
      <c r="E30" s="3" t="s">
        <v>530</v>
      </c>
      <c r="F30" s="3" t="str">
        <f>IF(E30="", "", IF(ISNUMBER(_xlfn.XMATCH(E30, 'Champions Sheet'!H:H)), "Found in Master", "MISSING in Alicia's"))</f>
        <v>MISSING in Alicia's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536</v>
      </c>
      <c r="B31" s="10">
        <v>3.03268414E8</v>
      </c>
      <c r="C31" s="3" t="s">
        <v>537</v>
      </c>
      <c r="D31" s="13" t="s">
        <v>538</v>
      </c>
      <c r="E31" s="3" t="s">
        <v>544</v>
      </c>
      <c r="F31" s="3" t="str">
        <f>IF(E31="", "", IF(ISNUMBER(_xlfn.XMATCH(E31, 'Champions Sheet'!H:H)), "Found in Master", "MISSING in Alicia's"))</f>
        <v>MISSING in Alicia's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551</v>
      </c>
      <c r="B32" s="10">
        <v>3.0483539E8</v>
      </c>
      <c r="C32" s="3" t="s">
        <v>553</v>
      </c>
      <c r="D32" s="13" t="s">
        <v>554</v>
      </c>
      <c r="E32" s="3" t="s">
        <v>561</v>
      </c>
      <c r="F32" s="3" t="str">
        <f>IF(E32="", "", IF(ISNUMBER(_xlfn.XMATCH(E32, 'Champions Sheet'!H:H)), "Found in Master", "MISSING in Alicia's"))</f>
        <v>MISSING in Alicia's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563</v>
      </c>
      <c r="B33" s="10">
        <v>3.04859503E8</v>
      </c>
      <c r="C33" s="3" t="s">
        <v>564</v>
      </c>
      <c r="D33" s="13" t="s">
        <v>565</v>
      </c>
      <c r="E33" s="3" t="s">
        <v>572</v>
      </c>
      <c r="F33" s="3" t="str">
        <f>IF(E33="", "", IF(ISNUMBER(_xlfn.XMATCH(E33, 'Champions Sheet'!H:H)), "Found in Master", "MISSING in Alicia's"))</f>
        <v>MISSING in Alicia's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132</v>
      </c>
      <c r="B34" s="10">
        <v>3.07004292E8</v>
      </c>
      <c r="C34" s="3" t="s">
        <v>582</v>
      </c>
      <c r="D34" s="13" t="s">
        <v>130</v>
      </c>
      <c r="E34" s="3" t="s">
        <v>131</v>
      </c>
      <c r="F34" s="3" t="str">
        <f>IF(E34="", "", IF(ISNUMBER(_xlfn.XMATCH(E34, 'Champions Sheet'!H:H)), "Found in Master", "MISSING in Alicia's"))</f>
        <v>MISSING in Alicia's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587</v>
      </c>
      <c r="B35" s="10">
        <v>3.07048545E8</v>
      </c>
      <c r="C35" s="13" t="s">
        <v>588</v>
      </c>
      <c r="D35" s="13" t="s">
        <v>595</v>
      </c>
      <c r="E35" s="3" t="s">
        <v>598</v>
      </c>
      <c r="F35" s="3" t="str">
        <f>IF(E35="", "", IF(ISNUMBER(_xlfn.XMATCH(E35, 'Champions Sheet'!H:H)), "Found in Master", "MISSING in Alicia's"))</f>
        <v>Found in Master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605</v>
      </c>
      <c r="B36" s="10">
        <v>3.0873238E8</v>
      </c>
      <c r="C36" s="13" t="s">
        <v>607</v>
      </c>
      <c r="D36" s="13" t="s">
        <v>613</v>
      </c>
      <c r="E36" s="3" t="s">
        <v>619</v>
      </c>
      <c r="F36" s="3" t="str">
        <f>IF(E36="", "", IF(ISNUMBER(_xlfn.XMATCH(E36, 'Champions Sheet'!H:H)), "Found in Master", "MISSING in Alicia's"))</f>
        <v>MISSING in Alicia's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627</v>
      </c>
      <c r="B37" s="10">
        <v>3.09955218E8</v>
      </c>
      <c r="C37" s="13" t="s">
        <v>629</v>
      </c>
      <c r="D37" s="13" t="s">
        <v>641</v>
      </c>
      <c r="E37" s="3" t="s">
        <v>649</v>
      </c>
      <c r="F37" s="3" t="str">
        <f>IF(E37="", "", IF(ISNUMBER(_xlfn.XMATCH(E37, 'Champions Sheet'!H:H)), "Found in Master", "MISSING in Alicia's"))</f>
        <v>Found in Master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661</v>
      </c>
      <c r="B38" s="10">
        <v>3.14570291E8</v>
      </c>
      <c r="C38" s="3" t="s">
        <v>662</v>
      </c>
      <c r="D38" s="13" t="s">
        <v>663</v>
      </c>
      <c r="E38" s="3" t="s">
        <v>672</v>
      </c>
      <c r="F38" s="3" t="str">
        <f>IF(E38="", "", IF(ISNUMBER(_xlfn.XMATCH(E38, 'Champions Sheet'!H:H)), "Found in Master", "MISSING in Alicia's"))</f>
        <v>Found in Master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679</v>
      </c>
      <c r="B39" s="10">
        <v>3.14693308E8</v>
      </c>
      <c r="C39" s="3" t="s">
        <v>680</v>
      </c>
      <c r="D39" s="13" t="s">
        <v>681</v>
      </c>
      <c r="E39" s="3" t="s">
        <v>689</v>
      </c>
      <c r="F39" s="3" t="str">
        <f>IF(E39="", "", IF(ISNUMBER(_xlfn.XMATCH(E39, 'Champions Sheet'!H:H)), "Found in Master", "MISSING in Alicia's"))</f>
        <v>MISSING in Alicia's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707</v>
      </c>
      <c r="B40" s="10">
        <v>3.15677951E8</v>
      </c>
      <c r="C40" s="3" t="s">
        <v>712</v>
      </c>
      <c r="D40" s="13" t="s">
        <v>713</v>
      </c>
      <c r="E40" s="3" t="s">
        <v>723</v>
      </c>
      <c r="F40" s="3" t="str">
        <f>IF(E40="", "", IF(ISNUMBER(_xlfn.XMATCH(E40, 'Champions Sheet'!H:H)), "Found in Master", "MISSING in Alicia's"))</f>
        <v>Found in Master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746</v>
      </c>
      <c r="B41" s="10">
        <v>3.1807176E8</v>
      </c>
      <c r="C41" s="13" t="s">
        <v>751</v>
      </c>
      <c r="D41" s="13" t="s">
        <v>781</v>
      </c>
      <c r="E41" s="3" t="s">
        <v>791</v>
      </c>
      <c r="F41" s="3" t="str">
        <f>IF(E41="", "", IF(ISNUMBER(_xlfn.XMATCH(E41, 'Champions Sheet'!H:H)), "Found in Master", "MISSING in Alicia's"))</f>
        <v>Found in Master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803</v>
      </c>
      <c r="B42" s="10">
        <v>3.19000672E8</v>
      </c>
      <c r="C42" s="13" t="s">
        <v>810</v>
      </c>
      <c r="D42" s="13" t="s">
        <v>814</v>
      </c>
      <c r="E42" s="3" t="s">
        <v>827</v>
      </c>
      <c r="F42" s="3" t="str">
        <f>IF(E42="", "", IF(ISNUMBER(_xlfn.XMATCH(E42, 'Champions Sheet'!H:H)), "Found in Master", "MISSING in Alicia's"))</f>
        <v>Found in Master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274</v>
      </c>
      <c r="B43" s="10">
        <v>3.20256624E8</v>
      </c>
      <c r="C43" s="3" t="s">
        <v>833</v>
      </c>
      <c r="D43" s="13" t="s">
        <v>835</v>
      </c>
      <c r="E43" s="3" t="s">
        <v>273</v>
      </c>
      <c r="F43" s="3" t="str">
        <f>IF(E43="", "", IF(ISNUMBER(_xlfn.XMATCH(E43, 'Champions Sheet'!H:H)), "Found in Master", "MISSING in Alicia's"))</f>
        <v>Found in Master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861</v>
      </c>
      <c r="B44" s="10">
        <v>3.20943163E8</v>
      </c>
      <c r="C44" s="13" t="s">
        <v>863</v>
      </c>
      <c r="D44" s="13" t="s">
        <v>876</v>
      </c>
      <c r="E44" s="3" t="s">
        <v>891</v>
      </c>
      <c r="F44" s="3" t="str">
        <f>IF(E44="", "", IF(ISNUMBER(_xlfn.XMATCH(E44, 'Champions Sheet'!H:H)), "Found in Master", "MISSING in Alicia's"))</f>
        <v>Found in Master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283</v>
      </c>
      <c r="B45" s="10">
        <v>3.24057916E8</v>
      </c>
      <c r="C45" s="3" t="s">
        <v>909</v>
      </c>
      <c r="D45" s="13" t="s">
        <v>910</v>
      </c>
      <c r="E45" s="3" t="s">
        <v>921</v>
      </c>
      <c r="F45" s="3" t="str">
        <f>IF(E45="", "", IF(ISNUMBER(_xlfn.XMATCH(E45, 'Champions Sheet'!H:H)), "Found in Master", "MISSING in Alicia's"))</f>
        <v>Found in Master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283</v>
      </c>
      <c r="B46" s="10">
        <v>3.24057916E8</v>
      </c>
      <c r="C46" s="3" t="s">
        <v>932</v>
      </c>
      <c r="D46" s="13" t="s">
        <v>933</v>
      </c>
      <c r="E46" s="3" t="s">
        <v>942</v>
      </c>
      <c r="F46" s="3" t="str">
        <f>IF(E46="", "", IF(ISNUMBER(_xlfn.XMATCH(E46, 'Champions Sheet'!H:H)), "Found in Master", "MISSING in Alicia's"))</f>
        <v>MISSING in Alicia's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951</v>
      </c>
      <c r="B47" s="10">
        <v>3.24315807E8</v>
      </c>
      <c r="C47" s="3" t="s">
        <v>952</v>
      </c>
      <c r="D47" s="13" t="s">
        <v>953</v>
      </c>
      <c r="E47" s="3" t="s">
        <v>958</v>
      </c>
      <c r="F47" s="3" t="str">
        <f>IF(E47="", "", IF(ISNUMBER(_xlfn.XMATCH(E47, 'Champions Sheet'!H:H)), "Found in Master", "MISSING in Alicia's"))</f>
        <v>MISSING in Alicia's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86</v>
      </c>
      <c r="B48" s="10">
        <v>3.24735019E8</v>
      </c>
      <c r="C48" s="3" t="s">
        <v>965</v>
      </c>
      <c r="D48" s="13" t="s">
        <v>966</v>
      </c>
      <c r="E48" s="3" t="s">
        <v>84</v>
      </c>
      <c r="F48" s="3" t="str">
        <f>IF(E48="", "", IF(ISNUMBER(_xlfn.XMATCH(E48, 'Champions Sheet'!H:H)), "Found in Master", "MISSING in Alicia's"))</f>
        <v>Found in Master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986</v>
      </c>
      <c r="B49" s="10">
        <v>3.27015056E8</v>
      </c>
      <c r="C49" s="3" t="s">
        <v>988</v>
      </c>
      <c r="D49" s="13" t="s">
        <v>990</v>
      </c>
      <c r="E49" s="3" t="s">
        <v>996</v>
      </c>
      <c r="F49" s="3" t="str">
        <f>IF(E49="", "", IF(ISNUMBER(_xlfn.XMATCH(E49, 'Champions Sheet'!H:H)), "Found in Master", "MISSING in Alicia's"))</f>
        <v>Found in Master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1001</v>
      </c>
      <c r="B50" s="10">
        <v>3.29448089E8</v>
      </c>
      <c r="C50" s="3" t="s">
        <v>1003</v>
      </c>
      <c r="D50" s="13" t="s">
        <v>1004</v>
      </c>
      <c r="E50" s="3" t="s">
        <v>1019</v>
      </c>
      <c r="F50" s="3" t="str">
        <f>IF(E50="", "", IF(ISNUMBER(_xlfn.XMATCH(E50, 'Champions Sheet'!H:H)), "Found in Master", "MISSING in Alicia's"))</f>
        <v>Found in Master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995</v>
      </c>
      <c r="B51" s="10">
        <v>3.29851058E8</v>
      </c>
      <c r="C51" s="13" t="s">
        <v>1039</v>
      </c>
      <c r="D51" s="13" t="s">
        <v>1052</v>
      </c>
      <c r="E51" s="3" t="s">
        <v>994</v>
      </c>
      <c r="F51" s="3" t="str">
        <f>IF(E51="", "", IF(ISNUMBER(_xlfn.XMATCH(E51, 'Champions Sheet'!H:H)), "Found in Master", "MISSING in Alicia's"))</f>
        <v>Found in Master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1061</v>
      </c>
      <c r="B52" s="10">
        <v>3.31138284E8</v>
      </c>
      <c r="C52" s="3" t="s">
        <v>1062</v>
      </c>
      <c r="D52" s="13" t="s">
        <v>1063</v>
      </c>
      <c r="E52" s="3" t="s">
        <v>1072</v>
      </c>
      <c r="F52" s="3" t="str">
        <f>IF(E52="", "", IF(ISNUMBER(_xlfn.XMATCH(E52, 'Champions Sheet'!H:H)), "Found in Master", "MISSING in Alicia's"))</f>
        <v>MISSING in Alicia's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531</v>
      </c>
      <c r="B53" s="10">
        <v>3.31352235E8</v>
      </c>
      <c r="C53" s="3" t="s">
        <v>1081</v>
      </c>
      <c r="D53" s="13" t="s">
        <v>532</v>
      </c>
      <c r="E53" s="3" t="s">
        <v>546</v>
      </c>
      <c r="F53" s="3" t="str">
        <f>IF(E53="", "", IF(ISNUMBER(_xlfn.XMATCH(E53, 'Champions Sheet'!H:H)), "Found in Master", "MISSING in Alicia's"))</f>
        <v>MISSING in Alicia's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292</v>
      </c>
      <c r="B54" s="10">
        <v>3.3154896E8</v>
      </c>
      <c r="C54" s="3" t="s">
        <v>1090</v>
      </c>
      <c r="D54" s="13" t="s">
        <v>293</v>
      </c>
      <c r="E54" s="3" t="s">
        <v>299</v>
      </c>
      <c r="F54" s="3" t="str">
        <f>IF(E54="", "", IF(ISNUMBER(_xlfn.XMATCH(E54, 'Champions Sheet'!H:H)), "Found in Master", "MISSING in Alicia's"))</f>
        <v>MISSING in Alicia's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62</v>
      </c>
      <c r="B55" s="10">
        <v>3.31553278E8</v>
      </c>
      <c r="C55" s="3" t="s">
        <v>1098</v>
      </c>
      <c r="D55" s="13" t="s">
        <v>63</v>
      </c>
      <c r="E55" s="3" t="s">
        <v>68</v>
      </c>
      <c r="F55" s="3" t="str">
        <f>IF(E55="", "", IF(ISNUMBER(_xlfn.XMATCH(E55, 'Champions Sheet'!H:H)), "Found in Master", "MISSING in Alicia's"))</f>
        <v>MISSING in Alicia's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79</v>
      </c>
      <c r="B56" s="10">
        <v>3.31579917E8</v>
      </c>
      <c r="C56" s="3" t="s">
        <v>1105</v>
      </c>
      <c r="D56" s="13" t="s">
        <v>80</v>
      </c>
      <c r="E56" s="3" t="s">
        <v>83</v>
      </c>
      <c r="F56" s="3" t="str">
        <f>IF(E56="", "", IF(ISNUMBER(_xlfn.XMATCH(E56, 'Champions Sheet'!H:H)), "Found in Master", "MISSING in Alicia's"))</f>
        <v>MISSING in Alicia's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1112</v>
      </c>
      <c r="B57" s="10">
        <v>3.31596422E8</v>
      </c>
      <c r="C57" s="3" t="s">
        <v>1113</v>
      </c>
      <c r="D57" s="13" t="s">
        <v>1114</v>
      </c>
      <c r="E57" s="3" t="s">
        <v>1127</v>
      </c>
      <c r="F57" s="3" t="str">
        <f>IF(E57="", "", IF(ISNUMBER(_xlfn.XMATCH(E57, 'Champions Sheet'!H:H)), "Found in Master", "MISSING in Alicia's"))</f>
        <v>MISSING in Alicia's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616</v>
      </c>
      <c r="B58" s="10">
        <v>3.31599825E8</v>
      </c>
      <c r="C58" s="3" t="s">
        <v>1139</v>
      </c>
      <c r="D58" s="13" t="s">
        <v>617</v>
      </c>
      <c r="E58" s="3" t="s">
        <v>620</v>
      </c>
      <c r="F58" s="3" t="str">
        <f>IF(E58="", "", IF(ISNUMBER(_xlfn.XMATCH(E58, 'Champions Sheet'!H:H)), "Found in Master", "MISSING in Alicia's"))</f>
        <v>MISSING in Alicia's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140</v>
      </c>
      <c r="B59" s="10">
        <v>3.31609147E8</v>
      </c>
      <c r="C59" s="3" t="s">
        <v>1156</v>
      </c>
      <c r="D59" s="13" t="s">
        <v>141</v>
      </c>
      <c r="E59" s="3" t="s">
        <v>148</v>
      </c>
      <c r="F59" s="3" t="str">
        <f>IF(E59="", "", IF(ISNUMBER(_xlfn.XMATCH(E59, 'Champions Sheet'!H:H)), "Found in Master", "MISSING in Alicia's"))</f>
        <v>MISSING in Alicia's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198</v>
      </c>
      <c r="B60" s="10">
        <v>3.31614593E8</v>
      </c>
      <c r="C60" s="3" t="s">
        <v>1180</v>
      </c>
      <c r="D60" s="13" t="s">
        <v>199</v>
      </c>
      <c r="E60" s="3" t="s">
        <v>204</v>
      </c>
      <c r="F60" s="3" t="str">
        <f>IF(E60="", "", IF(ISNUMBER(_xlfn.XMATCH(E60, 'Champions Sheet'!H:H)), "Found in Master", "MISSING in Alicia's"))</f>
        <v>MISSING in Alicia's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743</v>
      </c>
      <c r="B61" s="10">
        <v>3.31618006E8</v>
      </c>
      <c r="C61" s="3" t="s">
        <v>1186</v>
      </c>
      <c r="D61" s="13" t="s">
        <v>745</v>
      </c>
      <c r="E61" s="3" t="s">
        <v>757</v>
      </c>
      <c r="F61" s="3" t="str">
        <f>IF(E61="", "", IF(ISNUMBER(_xlfn.XMATCH(E61, 'Champions Sheet'!H:H)), "Found in Master", "MISSING in Alicia's"))</f>
        <v>MISSING in Alicia's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227</v>
      </c>
      <c r="B62" s="10">
        <v>3.31627723E8</v>
      </c>
      <c r="C62" s="3" t="s">
        <v>1193</v>
      </c>
      <c r="D62" s="13" t="s">
        <v>228</v>
      </c>
      <c r="E62" s="3" t="s">
        <v>236</v>
      </c>
      <c r="F62" s="3" t="str">
        <f>IF(E62="", "", IF(ISNUMBER(_xlfn.XMATCH(E62, 'Champions Sheet'!H:H)), "Found in Master", "MISSING in Alicia's"))</f>
        <v>MISSING in Alicia's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1206</v>
      </c>
      <c r="B63" s="10">
        <v>3.35396203E8</v>
      </c>
      <c r="C63" s="3" t="s">
        <v>1208</v>
      </c>
      <c r="D63" s="13" t="s">
        <v>1209</v>
      </c>
      <c r="E63" s="3" t="s">
        <v>1218</v>
      </c>
      <c r="F63" s="3" t="str">
        <f>IF(E63="", "", IF(ISNUMBER(_xlfn.XMATCH(E63, 'Champions Sheet'!H:H)), "Found in Master", "MISSING in Alicia's"))</f>
        <v>MISSING in Alicia's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1227</v>
      </c>
      <c r="B64" s="10">
        <v>3.36235916E8</v>
      </c>
      <c r="C64" s="13" t="s">
        <v>1229</v>
      </c>
      <c r="D64" s="13" t="s">
        <v>1231</v>
      </c>
      <c r="E64" s="3" t="s">
        <v>1237</v>
      </c>
      <c r="F64" s="3" t="str">
        <f>IF(E64="", "", IF(ISNUMBER(_xlfn.XMATCH(E64, 'Champions Sheet'!H:H)), "Found in Master", "MISSING in Alicia's"))</f>
        <v>Found in Master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1242</v>
      </c>
      <c r="B65" s="10">
        <v>3.37385726E8</v>
      </c>
      <c r="C65" s="3" t="s">
        <v>1243</v>
      </c>
      <c r="D65" s="13" t="s">
        <v>1244</v>
      </c>
      <c r="E65" s="3" t="s">
        <v>1249</v>
      </c>
      <c r="F65" s="3" t="str">
        <f>IF(E65="", "", IF(ISNUMBER(_xlfn.XMATCH(E65, 'Champions Sheet'!H:H)), "Found in Master", "MISSING in Alicia's"))</f>
        <v>MISSING in Alicia's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560</v>
      </c>
      <c r="B66" s="10">
        <v>3.43057947E8</v>
      </c>
      <c r="C66" s="3" t="s">
        <v>1252</v>
      </c>
      <c r="D66" s="13" t="s">
        <v>557</v>
      </c>
      <c r="E66" s="3" t="s">
        <v>562</v>
      </c>
      <c r="F66" s="3" t="str">
        <f>IF(E66="", "", IF(ISNUMBER(_xlfn.XMATCH(E66, 'Champions Sheet'!H:H)), "Found in Master", "MISSING in Alicia's"))</f>
        <v>MISSING in Alicia's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 t="s">
        <v>884</v>
      </c>
      <c r="B67" s="10">
        <v>3.43470548E8</v>
      </c>
      <c r="C67" s="13" t="s">
        <v>874</v>
      </c>
      <c r="D67" s="13" t="s">
        <v>880</v>
      </c>
      <c r="E67" s="3" t="s">
        <v>883</v>
      </c>
      <c r="F67" s="3" t="str">
        <f>IF(E67="", "", IF(ISNUMBER(_xlfn.XMATCH(E67, 'Champions Sheet'!H:H)), "Found in Master", "MISSING in Alicia's"))</f>
        <v>Found in Master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 t="s">
        <v>1269</v>
      </c>
      <c r="B68" s="10">
        <v>3.45260875E8</v>
      </c>
      <c r="C68" s="3" t="s">
        <v>1270</v>
      </c>
      <c r="D68" s="13" t="s">
        <v>1271</v>
      </c>
      <c r="E68" s="3" t="s">
        <v>1273</v>
      </c>
      <c r="F68" s="3" t="str">
        <f>IF(E68="", "", IF(ISNUMBER(_xlfn.XMATCH(E68, 'Champions Sheet'!H:H)), "Found in Master", "MISSING in Alicia's"))</f>
        <v>MISSING in Alicia's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 t="s">
        <v>1284</v>
      </c>
      <c r="B69" s="10">
        <v>3.45264877E8</v>
      </c>
      <c r="C69" s="3" t="s">
        <v>1285</v>
      </c>
      <c r="D69" s="13" t="s">
        <v>1286</v>
      </c>
      <c r="E69" s="3" t="s">
        <v>1293</v>
      </c>
      <c r="F69" s="3" t="str">
        <f>IF(E69="", "", IF(ISNUMBER(_xlfn.XMATCH(E69, 'Champions Sheet'!H:H)), "Found in Master", "MISSING in Alicia's"))</f>
        <v>MISSING in Alicia's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 t="s">
        <v>1298</v>
      </c>
      <c r="B70" s="10">
        <v>3.45269596E8</v>
      </c>
      <c r="C70" s="3" t="s">
        <v>1299</v>
      </c>
      <c r="D70" s="13" t="s">
        <v>1301</v>
      </c>
      <c r="E70" s="3" t="s">
        <v>1306</v>
      </c>
      <c r="F70" s="3" t="str">
        <f>IF(E70="", "", IF(ISNUMBER(_xlfn.XMATCH(E70, 'Champions Sheet'!H:H)), "Found in Master", "MISSING in Alicia's"))</f>
        <v>MISSING in Alicia's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 t="s">
        <v>26</v>
      </c>
      <c r="B71" s="10">
        <v>3.46064368E8</v>
      </c>
      <c r="C71" s="3" t="s">
        <v>1310</v>
      </c>
      <c r="D71" s="13" t="s">
        <v>28</v>
      </c>
      <c r="E71" s="3" t="s">
        <v>35</v>
      </c>
      <c r="F71" s="3" t="str">
        <f>IF(E71="", "", IF(ISNUMBER(_xlfn.XMATCH(E71, 'Champions Sheet'!H:H)), "Found in Master", "MISSING in Alicia's"))</f>
        <v>MISSING in Alicia's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 t="s">
        <v>113</v>
      </c>
      <c r="B72" s="10">
        <v>3.46115405E8</v>
      </c>
      <c r="C72" s="3" t="s">
        <v>1322</v>
      </c>
      <c r="D72" s="13" t="s">
        <v>115</v>
      </c>
      <c r="E72" s="3" t="s">
        <v>126</v>
      </c>
      <c r="F72" s="3" t="str">
        <f>IF(E72="", "", IF(ISNUMBER(_xlfn.XMATCH(E72, 'Champions Sheet'!H:H)), "Found in Master", "MISSING in Alicia's"))</f>
        <v>Found in Master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 t="s">
        <v>142</v>
      </c>
      <c r="B73" s="10">
        <v>3.4611764E8</v>
      </c>
      <c r="C73" s="3" t="s">
        <v>1347</v>
      </c>
      <c r="D73" s="13" t="s">
        <v>451</v>
      </c>
      <c r="E73" s="3" t="s">
        <v>139</v>
      </c>
      <c r="F73" s="3" t="str">
        <f>IF(E73="", "", IF(ISNUMBER(_xlfn.XMATCH(E73, 'Champions Sheet'!H:H)), "Found in Master", "MISSING in Alicia's"))</f>
        <v>Found in Master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 t="s">
        <v>55</v>
      </c>
      <c r="B74" s="10">
        <v>3.46136007E8</v>
      </c>
      <c r="C74" s="3" t="s">
        <v>1360</v>
      </c>
      <c r="D74" s="13" t="s">
        <v>1361</v>
      </c>
      <c r="E74" s="3" t="s">
        <v>53</v>
      </c>
      <c r="F74" s="3" t="str">
        <f>IF(E74="", "", IF(ISNUMBER(_xlfn.XMATCH(E74, 'Champions Sheet'!H:H)), "Found in Master", "MISSING in Alicia's"))</f>
        <v>Found in Master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 t="s">
        <v>1374</v>
      </c>
      <c r="B75" s="10">
        <v>3.46141635E8</v>
      </c>
      <c r="C75" s="3" t="s">
        <v>1376</v>
      </c>
      <c r="D75" s="13" t="s">
        <v>1377</v>
      </c>
      <c r="E75" s="3" t="s">
        <v>1383</v>
      </c>
      <c r="F75" s="3" t="str">
        <f>IF(E75="", "", IF(ISNUMBER(_xlfn.XMATCH(E75, 'Champions Sheet'!H:H)), "Found in Master", "MISSING in Alicia's"))</f>
        <v>MISSING in Alicia's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 t="s">
        <v>194</v>
      </c>
      <c r="B76" s="10">
        <v>3.46161E8</v>
      </c>
      <c r="C76" s="13" t="s">
        <v>191</v>
      </c>
      <c r="D76" s="13" t="s">
        <v>192</v>
      </c>
      <c r="E76" s="3" t="s">
        <v>193</v>
      </c>
      <c r="F76" s="3" t="str">
        <f>IF(E76="", "", IF(ISNUMBER(_xlfn.XMATCH(E76, 'Champions Sheet'!H:H)), "Found in Master", "MISSING in Alicia's"))</f>
        <v>MISSING in Alicia's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 t="s">
        <v>200</v>
      </c>
      <c r="B77" s="10">
        <v>3.46161411E8</v>
      </c>
      <c r="C77" s="3" t="s">
        <v>1415</v>
      </c>
      <c r="D77" s="13" t="s">
        <v>196</v>
      </c>
      <c r="E77" s="3" t="s">
        <v>197</v>
      </c>
      <c r="F77" s="3" t="str">
        <f>IF(E77="", "", IF(ISNUMBER(_xlfn.XMATCH(E77, 'Champions Sheet'!H:H)), "Found in Master", "MISSING in Alicia's"))</f>
        <v>MISSING in Alicia's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 t="s">
        <v>96</v>
      </c>
      <c r="B78" s="10">
        <v>3.46173985E8</v>
      </c>
      <c r="C78" s="3" t="s">
        <v>1428</v>
      </c>
      <c r="D78" s="13" t="s">
        <v>93</v>
      </c>
      <c r="E78" s="3" t="s">
        <v>95</v>
      </c>
      <c r="F78" s="3" t="str">
        <f>IF(E78="", "", IF(ISNUMBER(_xlfn.XMATCH(E78, 'Champions Sheet'!H:H)), "Found in Master", "MISSING in Alicia's"))</f>
        <v>MISSING in Alicia's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 t="s">
        <v>125</v>
      </c>
      <c r="B79" s="10">
        <v>3.46181673E8</v>
      </c>
      <c r="C79" s="3" t="s">
        <v>1443</v>
      </c>
      <c r="D79" s="13" t="s">
        <v>121</v>
      </c>
      <c r="E79" s="3" t="s">
        <v>124</v>
      </c>
      <c r="F79" s="3" t="str">
        <f>IF(E79="", "", IF(ISNUMBER(_xlfn.XMATCH(E79, 'Champions Sheet'!H:H)), "Found in Master", "MISSING in Alicia's"))</f>
        <v>MISSING in Alicia's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 t="s">
        <v>911</v>
      </c>
      <c r="B80" s="10">
        <v>3.46238059E8</v>
      </c>
      <c r="C80" s="13" t="s">
        <v>944</v>
      </c>
      <c r="D80" s="13" t="s">
        <v>912</v>
      </c>
      <c r="E80" s="3" t="s">
        <v>916</v>
      </c>
      <c r="F80" s="3" t="str">
        <f>IF(E80="", "", IF(ISNUMBER(_xlfn.XMATCH(E80, 'Champions Sheet'!H:H)), "Found in Master", "MISSING in Alicia's"))</f>
        <v>Found in Master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 t="s">
        <v>347</v>
      </c>
      <c r="B81" s="10">
        <v>3.46241559E8</v>
      </c>
      <c r="C81" s="3" t="s">
        <v>1460</v>
      </c>
      <c r="D81" s="13" t="s">
        <v>1355</v>
      </c>
      <c r="E81" s="3" t="s">
        <v>346</v>
      </c>
      <c r="F81" s="3" t="str">
        <f>IF(E81="", "", IF(ISNUMBER(_xlfn.XMATCH(E81, 'Champions Sheet'!H:H)), "Found in Master", "MISSING in Alicia's"))</f>
        <v>Found in Master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 t="s">
        <v>1464</v>
      </c>
      <c r="B82" s="10">
        <v>3.46259203E8</v>
      </c>
      <c r="C82" s="13" t="s">
        <v>1465</v>
      </c>
      <c r="D82" s="13" t="s">
        <v>1470</v>
      </c>
      <c r="E82" s="3" t="s">
        <v>1472</v>
      </c>
      <c r="F82" s="3" t="str">
        <f>IF(E82="", "", IF(ISNUMBER(_xlfn.XMATCH(E82, 'Champions Sheet'!H:H)), "Found in Master", "MISSING in Alicia's"))</f>
        <v>MISSING in Alicia's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 t="s">
        <v>1477</v>
      </c>
      <c r="B83" s="10">
        <v>3.46259813E8</v>
      </c>
      <c r="C83" s="3" t="s">
        <v>1479</v>
      </c>
      <c r="D83" s="13" t="s">
        <v>1480</v>
      </c>
      <c r="E83" s="3" t="s">
        <v>1484</v>
      </c>
      <c r="F83" s="3" t="str">
        <f>IF(E83="", "", IF(ISNUMBER(_xlfn.XMATCH(E83, 'Champions Sheet'!H:H)), "Found in Master", "MISSING in Alicia's"))</f>
        <v>MISSING in Alicia's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 t="s">
        <v>920</v>
      </c>
      <c r="B84" s="10">
        <v>3.46264511E8</v>
      </c>
      <c r="C84" s="13" t="s">
        <v>913</v>
      </c>
      <c r="D84" s="13" t="s">
        <v>917</v>
      </c>
      <c r="E84" s="3" t="s">
        <v>919</v>
      </c>
      <c r="F84" s="3" t="str">
        <f>IF(E84="", "", IF(ISNUMBER(_xlfn.XMATCH(E84, 'Champions Sheet'!H:H)), "Found in Master", "MISSING in Alicia's"))</f>
        <v>Found in Master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 t="s">
        <v>877</v>
      </c>
      <c r="B85" s="10">
        <v>3.46274765E8</v>
      </c>
      <c r="C85" s="13" t="s">
        <v>1051</v>
      </c>
      <c r="D85" s="13" t="s">
        <v>878</v>
      </c>
      <c r="E85" s="3" t="s">
        <v>887</v>
      </c>
      <c r="F85" s="3" t="str">
        <f>IF(E85="", "", IF(ISNUMBER(_xlfn.XMATCH(E85, 'Champions Sheet'!H:H)), "Found in Master", "MISSING in Alicia's"))</f>
        <v>Found in Master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 t="s">
        <v>181</v>
      </c>
      <c r="B86" s="10">
        <v>3.46275491E8</v>
      </c>
      <c r="C86" s="13" t="s">
        <v>914</v>
      </c>
      <c r="D86" s="13" t="s">
        <v>183</v>
      </c>
      <c r="E86" s="3" t="s">
        <v>185</v>
      </c>
      <c r="F86" s="3" t="str">
        <f>IF(E86="", "", IF(ISNUMBER(_xlfn.XMATCH(E86, 'Champions Sheet'!H:H)), "Found in Master", "MISSING in Alicia's"))</f>
        <v>MISSING in Alicia's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 t="s">
        <v>931</v>
      </c>
      <c r="B87" s="10">
        <v>3.46276629E8</v>
      </c>
      <c r="C87" s="13" t="s">
        <v>926</v>
      </c>
      <c r="D87" s="13" t="s">
        <v>928</v>
      </c>
      <c r="E87" s="3" t="s">
        <v>930</v>
      </c>
      <c r="F87" s="3" t="str">
        <f>IF(E87="", "", IF(ISNUMBER(_xlfn.XMATCH(E87, 'Champions Sheet'!H:H)), "Found in Master", "MISSING in Alicia's"))</f>
        <v>Found in Master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 t="s">
        <v>398</v>
      </c>
      <c r="B88" s="10">
        <v>3.46333715E8</v>
      </c>
      <c r="C88" s="3" t="s">
        <v>1525</v>
      </c>
      <c r="D88" s="13" t="s">
        <v>396</v>
      </c>
      <c r="E88" s="3" t="s">
        <v>397</v>
      </c>
      <c r="F88" s="3" t="str">
        <f>IF(E88="", "", IF(ISNUMBER(_xlfn.XMATCH(E88, 'Champions Sheet'!H:H)), "Found in Master", "MISSING in Alicia's"))</f>
        <v>MISSING in Alicia's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 t="s">
        <v>1531</v>
      </c>
      <c r="B89" s="10">
        <v>3.46361093E8</v>
      </c>
      <c r="C89" s="13" t="s">
        <v>1532</v>
      </c>
      <c r="D89" s="13" t="s">
        <v>1535</v>
      </c>
      <c r="E89" s="3" t="s">
        <v>1540</v>
      </c>
      <c r="F89" s="3" t="str">
        <f>IF(E89="", "", IF(ISNUMBER(_xlfn.XMATCH(E89, 'Champions Sheet'!H:H)), "Found in Master", "MISSING in Alicia's"))</f>
        <v>MISSING in Alicia's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 t="s">
        <v>612</v>
      </c>
      <c r="B90" s="10">
        <v>3.46363622E8</v>
      </c>
      <c r="C90" s="3" t="s">
        <v>1546</v>
      </c>
      <c r="D90" s="13" t="s">
        <v>610</v>
      </c>
      <c r="E90" s="3" t="s">
        <v>611</v>
      </c>
      <c r="F90" s="3" t="str">
        <f>IF(E90="", "", IF(ISNUMBER(_xlfn.XMATCH(E90, 'Champions Sheet'!H:H)), "Found in Master", "MISSING in Alicia's"))</f>
        <v>MISSING in Alicia's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 t="s">
        <v>404</v>
      </c>
      <c r="B91" s="10">
        <v>3.46372605E8</v>
      </c>
      <c r="C91" s="3" t="s">
        <v>1555</v>
      </c>
      <c r="D91" s="13" t="s">
        <v>402</v>
      </c>
      <c r="E91" s="3" t="s">
        <v>403</v>
      </c>
      <c r="F91" s="3" t="str">
        <f>IF(E91="", "", IF(ISNUMBER(_xlfn.XMATCH(E91, 'Champions Sheet'!H:H)), "Found in Master", "MISSING in Alicia's"))</f>
        <v>MISSING in Alicia's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 t="s">
        <v>368</v>
      </c>
      <c r="B92" s="10">
        <v>3.46384838E8</v>
      </c>
      <c r="C92" s="3" t="s">
        <v>1559</v>
      </c>
      <c r="D92" s="13" t="s">
        <v>365</v>
      </c>
      <c r="E92" s="3" t="s">
        <v>366</v>
      </c>
      <c r="F92" s="3" t="str">
        <f>IF(E92="", "", IF(ISNUMBER(_xlfn.XMATCH(E92, 'Champions Sheet'!H:H)), "Found in Master", "MISSING in Alicia's"))</f>
        <v>Found in Master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 t="s">
        <v>602</v>
      </c>
      <c r="B93" s="10">
        <v>3.46387672E8</v>
      </c>
      <c r="C93" s="13" t="s">
        <v>599</v>
      </c>
      <c r="D93" s="13" t="s">
        <v>600</v>
      </c>
      <c r="E93" s="3" t="s">
        <v>601</v>
      </c>
      <c r="F93" s="3" t="str">
        <f>IF(E93="", "", IF(ISNUMBER(_xlfn.XMATCH(E93, 'Champions Sheet'!H:H)), "Found in Master", "MISSING in Alicia's"))</f>
        <v>MISSING in Alicia's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 t="s">
        <v>1294</v>
      </c>
      <c r="B94" s="10">
        <v>3.46486484E8</v>
      </c>
      <c r="C94" s="3" t="s">
        <v>1567</v>
      </c>
      <c r="D94" s="13" t="s">
        <v>1290</v>
      </c>
      <c r="E94" s="3" t="s">
        <v>1292</v>
      </c>
      <c r="F94" s="3" t="str">
        <f>IF(E94="", "", IF(ISNUMBER(_xlfn.XMATCH(E94, 'Champions Sheet'!H:H)), "Found in Master", "MISSING in Alicia's"))</f>
        <v>MISSING in Alicia's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 t="s">
        <v>1017</v>
      </c>
      <c r="B95" s="10">
        <v>3.46497008E8</v>
      </c>
      <c r="C95" s="13" t="s">
        <v>1009</v>
      </c>
      <c r="D95" s="13" t="s">
        <v>1013</v>
      </c>
      <c r="E95" s="3" t="s">
        <v>1016</v>
      </c>
      <c r="F95" s="3" t="str">
        <f>IF(E95="", "", IF(ISNUMBER(_xlfn.XMATCH(E95, 'Champions Sheet'!H:H)), "Found in Master", "MISSING in Alicia's"))</f>
        <v>Found in Master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 t="s">
        <v>756</v>
      </c>
      <c r="B96" s="10">
        <v>3.46497515E8</v>
      </c>
      <c r="C96" s="13" t="s">
        <v>744</v>
      </c>
      <c r="D96" s="13" t="s">
        <v>753</v>
      </c>
      <c r="E96" s="3" t="s">
        <v>755</v>
      </c>
      <c r="F96" s="3" t="str">
        <f>IF(E96="", "", IF(ISNUMBER(_xlfn.XMATCH(E96, 'Champions Sheet'!H:H)), "Found in Master", "MISSING in Alicia's"))</f>
        <v>Found in Master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 t="s">
        <v>112</v>
      </c>
      <c r="B97" s="10">
        <v>3.46542253E8</v>
      </c>
      <c r="C97" s="3" t="s">
        <v>1575</v>
      </c>
      <c r="D97" s="13" t="s">
        <v>464</v>
      </c>
      <c r="E97" s="3" t="s">
        <v>111</v>
      </c>
      <c r="F97" s="3" t="str">
        <f>IF(E97="", "", IF(ISNUMBER(_xlfn.XMATCH(E97, 'Champions Sheet'!H:H)), "Found in Master", "MISSING in Alicia's"))</f>
        <v>Found in Master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 t="s">
        <v>60</v>
      </c>
      <c r="B98" s="10">
        <v>3.46560657E8</v>
      </c>
      <c r="C98" s="3" t="s">
        <v>1584</v>
      </c>
      <c r="D98" s="13" t="s">
        <v>56</v>
      </c>
      <c r="E98" s="3" t="s">
        <v>59</v>
      </c>
      <c r="F98" s="3" t="str">
        <f>IF(E98="", "", IF(ISNUMBER(_xlfn.XMATCH(E98, 'Champions Sheet'!H:H)), "Found in Master", "MISSING in Alicia's"))</f>
        <v>Found in Master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 t="s">
        <v>67</v>
      </c>
      <c r="B99" s="10">
        <v>3.46566719E8</v>
      </c>
      <c r="C99" s="3" t="s">
        <v>1591</v>
      </c>
      <c r="D99" s="13" t="s">
        <v>1592</v>
      </c>
      <c r="E99" s="3" t="s">
        <v>66</v>
      </c>
      <c r="F99" s="3" t="str">
        <f>IF(E99="", "", IF(ISNUMBER(_xlfn.XMATCH(E99, 'Champions Sheet'!H:H)), "Found in Master", "MISSING in Alicia's"))</f>
        <v>Found in Master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 t="s">
        <v>208</v>
      </c>
      <c r="B100" s="10">
        <v>3.46585614E8</v>
      </c>
      <c r="C100" s="3" t="s">
        <v>1596</v>
      </c>
      <c r="D100" s="13" t="s">
        <v>206</v>
      </c>
      <c r="E100" s="3" t="s">
        <v>207</v>
      </c>
      <c r="F100" s="3" t="str">
        <f>IF(E100="", "", IF(ISNUMBER(_xlfn.XMATCH(E100, 'Champions Sheet'!H:H)), "Found in Master", "MISSING in Alicia's"))</f>
        <v>MISSING in Alicia's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 t="s">
        <v>169</v>
      </c>
      <c r="B101" s="10">
        <v>3.46607534E8</v>
      </c>
      <c r="C101" s="3" t="s">
        <v>1597</v>
      </c>
      <c r="D101" s="13" t="s">
        <v>166</v>
      </c>
      <c r="E101" s="3" t="s">
        <v>167</v>
      </c>
      <c r="F101" s="3" t="str">
        <f>IF(E101="", "", IF(ISNUMBER(_xlfn.XMATCH(E101, 'Champions Sheet'!H:H)), "Found in Master", "MISSING in Alicia's"))</f>
        <v>MISSING in Alicia's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 t="s">
        <v>1048</v>
      </c>
      <c r="B102" s="10">
        <v>3.46681873E8</v>
      </c>
      <c r="C102" s="13" t="s">
        <v>1041</v>
      </c>
      <c r="D102" s="13" t="s">
        <v>1044</v>
      </c>
      <c r="E102" s="3" t="s">
        <v>1046</v>
      </c>
      <c r="F102" s="3" t="str">
        <f>IF(E102="", "", IF(ISNUMBER(_xlfn.XMATCH(E102, 'Champions Sheet'!H:H)), "Found in Master", "MISSING in Alicia's"))</f>
        <v>MISSING in Alicia's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 t="s">
        <v>1094</v>
      </c>
      <c r="B103" s="10">
        <v>3.46690276E8</v>
      </c>
      <c r="C103" s="13" t="s">
        <v>1607</v>
      </c>
      <c r="D103" s="13" t="s">
        <v>1092</v>
      </c>
      <c r="E103" s="3" t="s">
        <v>1093</v>
      </c>
      <c r="F103" s="3" t="str">
        <f>IF(E103="", "", IF(ISNUMBER(_xlfn.XMATCH(E103, 'Champions Sheet'!H:H)), "Found in Master", "MISSING in Alicia's"))</f>
        <v>MISSING in Alicia's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 t="s">
        <v>1071</v>
      </c>
      <c r="B104" s="10">
        <v>3.46707529E8</v>
      </c>
      <c r="C104" s="3" t="s">
        <v>1619</v>
      </c>
      <c r="D104" s="13" t="s">
        <v>1123</v>
      </c>
      <c r="E104" s="3" t="s">
        <v>1125</v>
      </c>
      <c r="F104" s="3" t="str">
        <f>IF(E104="", "", IF(ISNUMBER(_xlfn.XMATCH(E104, 'Champions Sheet'!H:H)), "Found in Master", "MISSING in Alicia's"))</f>
        <v>MISSING in Alicia's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 t="s">
        <v>1071</v>
      </c>
      <c r="B105" s="10">
        <v>3.46707529E8</v>
      </c>
      <c r="C105" s="13" t="s">
        <v>1064</v>
      </c>
      <c r="D105" s="13" t="s">
        <v>1066</v>
      </c>
      <c r="E105" s="3" t="s">
        <v>1069</v>
      </c>
      <c r="F105" s="3" t="str">
        <f>IF(E105="", "", IF(ISNUMBER(_xlfn.XMATCH(E105, 'Champions Sheet'!H:H)), "Found in Master", "MISSING in Alicia's"))</f>
        <v>Found in Master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 t="s">
        <v>775</v>
      </c>
      <c r="B106" s="10">
        <v>3.4672074E8</v>
      </c>
      <c r="C106" s="13" t="s">
        <v>950</v>
      </c>
      <c r="D106" s="13" t="s">
        <v>1661</v>
      </c>
      <c r="E106" s="3" t="s">
        <v>774</v>
      </c>
      <c r="F106" s="3" t="str">
        <f>IF(E106="", "", IF(ISNUMBER(_xlfn.XMATCH(E106, 'Champions Sheet'!H:H)), "Found in Master", "MISSING in Alicia's"))</f>
        <v>Found in Master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 t="s">
        <v>101</v>
      </c>
      <c r="B107" s="10">
        <v>3.46721069E8</v>
      </c>
      <c r="C107" s="3" t="s">
        <v>1670</v>
      </c>
      <c r="D107" s="13" t="s">
        <v>97</v>
      </c>
      <c r="E107" s="3" t="s">
        <v>100</v>
      </c>
      <c r="F107" s="3" t="str">
        <f>IF(E107="", "", IF(ISNUMBER(_xlfn.XMATCH(E107, 'Champions Sheet'!H:H)), "Found in Master", "MISSING in Alicia's"))</f>
        <v>Found in Master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 t="s">
        <v>797</v>
      </c>
      <c r="B108" s="10">
        <v>3.46721705E8</v>
      </c>
      <c r="C108" s="13" t="s">
        <v>790</v>
      </c>
      <c r="D108" s="13" t="s">
        <v>794</v>
      </c>
      <c r="E108" s="3" t="s">
        <v>962</v>
      </c>
      <c r="F108" s="3" t="str">
        <f>IF(E108="", "", IF(ISNUMBER(_xlfn.XMATCH(E108, 'Champions Sheet'!H:H)), "Found in Master", "MISSING in Alicia's"))</f>
        <v>MISSING in Alicia's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 t="s">
        <v>1689</v>
      </c>
      <c r="B109" s="10">
        <v>3.46722898E8</v>
      </c>
      <c r="C109" s="3" t="s">
        <v>1690</v>
      </c>
      <c r="D109" s="13" t="s">
        <v>1691</v>
      </c>
      <c r="E109" s="3" t="s">
        <v>1692</v>
      </c>
      <c r="F109" s="3" t="str">
        <f>IF(E109="", "", IF(ISNUMBER(_xlfn.XMATCH(E109, 'Champions Sheet'!H:H)), "Found in Master", "MISSING in Alicia's"))</f>
        <v>MISSING in Alicia's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 t="s">
        <v>980</v>
      </c>
      <c r="B110" s="10">
        <v>3.46723717E8</v>
      </c>
      <c r="C110" s="13" t="s">
        <v>974</v>
      </c>
      <c r="D110" s="13" t="s">
        <v>977</v>
      </c>
      <c r="E110" s="3" t="s">
        <v>979</v>
      </c>
      <c r="F110" s="3" t="str">
        <f>IF(E110="", "", IF(ISNUMBER(_xlfn.XMATCH(E110, 'Champions Sheet'!H:H)), "Found in Master", "MISSING in Alicia's"))</f>
        <v>Found in Master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 t="s">
        <v>980</v>
      </c>
      <c r="B111" s="10">
        <v>3.46723717E8</v>
      </c>
      <c r="C111" s="3" t="s">
        <v>1709</v>
      </c>
      <c r="D111" s="13" t="s">
        <v>1085</v>
      </c>
      <c r="E111" s="3" t="s">
        <v>1087</v>
      </c>
      <c r="F111" s="3" t="str">
        <f>IF(E111="", "", IF(ISNUMBER(_xlfn.XMATCH(E111, 'Champions Sheet'!H:H)), "Found in Master", "MISSING in Alicia's"))</f>
        <v>MISSING in Alicia's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 t="s">
        <v>943</v>
      </c>
      <c r="B112" s="10">
        <v>3.46724523E8</v>
      </c>
      <c r="C112" s="13" t="s">
        <v>982</v>
      </c>
      <c r="D112" s="13" t="s">
        <v>945</v>
      </c>
      <c r="E112" s="3" t="s">
        <v>949</v>
      </c>
      <c r="F112" s="3" t="str">
        <f>IF(E112="", "", IF(ISNUMBER(_xlfn.XMATCH(E112, 'Champions Sheet'!H:H)), "Found in Master", "MISSING in Alicia's"))</f>
        <v>Found in Master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 t="s">
        <v>255</v>
      </c>
      <c r="B113" s="10">
        <v>3.46726197E8</v>
      </c>
      <c r="C113" s="3" t="s">
        <v>1731</v>
      </c>
      <c r="D113" s="13" t="s">
        <v>253</v>
      </c>
      <c r="E113" s="3" t="s">
        <v>254</v>
      </c>
      <c r="F113" s="3" t="str">
        <f>IF(E113="", "", IF(ISNUMBER(_xlfn.XMATCH(E113, 'Champions Sheet'!H:H)), "Found in Master", "MISSING in Alicia's"))</f>
        <v>MISSING in Alicia's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 t="s">
        <v>357</v>
      </c>
      <c r="B114" s="10">
        <v>3.46726586E8</v>
      </c>
      <c r="C114" s="3" t="s">
        <v>1738</v>
      </c>
      <c r="D114" s="13" t="s">
        <v>359</v>
      </c>
      <c r="E114" s="3" t="s">
        <v>367</v>
      </c>
      <c r="F114" s="3" t="str">
        <f>IF(E114="", "", IF(ISNUMBER(_xlfn.XMATCH(E114, 'Champions Sheet'!H:H)), "Found in Master", "MISSING in Alicia's"))</f>
        <v>Found in Master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 t="s">
        <v>421</v>
      </c>
      <c r="B115" s="10">
        <v>3.46731853E8</v>
      </c>
      <c r="C115" s="13" t="s">
        <v>1095</v>
      </c>
      <c r="D115" s="13" t="s">
        <v>422</v>
      </c>
      <c r="E115" s="3" t="s">
        <v>425</v>
      </c>
      <c r="F115" s="3" t="str">
        <f>IF(E115="", "", IF(ISNUMBER(_xlfn.XMATCH(E115, 'Champions Sheet'!H:H)), "Found in Master", "MISSING in Alicia's"))</f>
        <v>MISSING in Alicia's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 t="s">
        <v>257</v>
      </c>
      <c r="B116" s="10">
        <v>3.46745177E8</v>
      </c>
      <c r="C116" s="13" t="s">
        <v>936</v>
      </c>
      <c r="D116" s="13" t="s">
        <v>258</v>
      </c>
      <c r="E116" s="3" t="s">
        <v>263</v>
      </c>
      <c r="F116" s="3" t="str">
        <f>IF(E116="", "", IF(ISNUMBER(_xlfn.XMATCH(E116, 'Champions Sheet'!H:H)), "Found in Master", "MISSING in Alicia's"))</f>
        <v>Found in Master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 t="s">
        <v>711</v>
      </c>
      <c r="B117" s="10">
        <v>3.46746786E8</v>
      </c>
      <c r="C117" s="13" t="s">
        <v>705</v>
      </c>
      <c r="D117" s="13" t="s">
        <v>708</v>
      </c>
      <c r="E117" s="3" t="s">
        <v>710</v>
      </c>
      <c r="F117" s="3" t="str">
        <f>IF(E117="", "", IF(ISNUMBER(_xlfn.XMATCH(E117, 'Champions Sheet'!H:H)), "Found in Master", "MISSING in Alicia's"))</f>
        <v>Found in Master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 t="s">
        <v>1002</v>
      </c>
      <c r="B118" s="10">
        <v>3.46747886E8</v>
      </c>
      <c r="C118" s="13" t="s">
        <v>888</v>
      </c>
      <c r="D118" s="13" t="s">
        <v>890</v>
      </c>
      <c r="E118" s="3" t="s">
        <v>1000</v>
      </c>
      <c r="F118" s="3" t="str">
        <f>IF(E118="", "", IF(ISNUMBER(_xlfn.XMATCH(E118, 'Champions Sheet'!H:H)), "Found in Master", "MISSING in Alicia's"))</f>
        <v>MISSING in Alicia's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 t="s">
        <v>1337</v>
      </c>
      <c r="B119" s="10">
        <v>3.46789347E8</v>
      </c>
      <c r="C119" s="13" t="s">
        <v>1334</v>
      </c>
      <c r="D119" s="13" t="s">
        <v>1335</v>
      </c>
      <c r="E119" s="3" t="s">
        <v>1336</v>
      </c>
      <c r="F119" s="3" t="str">
        <f>IF(E119="", "", IF(ISNUMBER(_xlfn.XMATCH(E119, 'Champions Sheet'!H:H)), "Found in Master", "MISSING in Alicia's"))</f>
        <v>MISSING in Alicia's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 t="s">
        <v>1111</v>
      </c>
      <c r="B120" s="10">
        <v>3.46793815E8</v>
      </c>
      <c r="C120" s="3" t="s">
        <v>1811</v>
      </c>
      <c r="D120" s="13" t="s">
        <v>1812</v>
      </c>
      <c r="E120" s="3" t="s">
        <v>1110</v>
      </c>
      <c r="F120" s="3" t="str">
        <f>IF(E120="", "", IF(ISNUMBER(_xlfn.XMATCH(E120, 'Champions Sheet'!H:H)), "Found in Master", "MISSING in Alicia's"))</f>
        <v>Found in Master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 t="s">
        <v>1217</v>
      </c>
      <c r="B121" s="10">
        <v>3.46808253E8</v>
      </c>
      <c r="C121" s="13" t="s">
        <v>1212</v>
      </c>
      <c r="D121" s="13" t="s">
        <v>1214</v>
      </c>
      <c r="E121" s="3" t="s">
        <v>1216</v>
      </c>
      <c r="F121" s="3" t="str">
        <f>IF(E121="", "", IF(ISNUMBER(_xlfn.XMATCH(E121, 'Champions Sheet'!H:H)), "Found in Master", "MISSING in Alicia's"))</f>
        <v>Found in Master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 t="s">
        <v>898</v>
      </c>
      <c r="B122" s="10">
        <v>3.46815418E8</v>
      </c>
      <c r="C122" s="13" t="s">
        <v>895</v>
      </c>
      <c r="D122" s="13" t="s">
        <v>896</v>
      </c>
      <c r="E122" s="3" t="s">
        <v>897</v>
      </c>
      <c r="F122" s="3" t="str">
        <f>IF(E122="", "", IF(ISNUMBER(_xlfn.XMATCH(E122, 'Champions Sheet'!H:H)), "Found in Master", "MISSING in Alicia's"))</f>
        <v>MISSING in Alicia's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 t="s">
        <v>738</v>
      </c>
      <c r="B123" s="10">
        <v>3.46826326E8</v>
      </c>
      <c r="C123" s="13" t="s">
        <v>729</v>
      </c>
      <c r="D123" s="13" t="s">
        <v>735</v>
      </c>
      <c r="E123" s="3" t="s">
        <v>737</v>
      </c>
      <c r="F123" s="3" t="str">
        <f>IF(E123="", "", IF(ISNUMBER(_xlfn.XMATCH(E123, 'Champions Sheet'!H:H)), "Found in Master", "MISSING in Alicia's"))</f>
        <v>Found in Master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 t="s">
        <v>989</v>
      </c>
      <c r="B124" s="10">
        <v>3.47337589E8</v>
      </c>
      <c r="C124" s="13" t="s">
        <v>848</v>
      </c>
      <c r="D124" s="13" t="s">
        <v>852</v>
      </c>
      <c r="E124" s="3" t="s">
        <v>987</v>
      </c>
      <c r="F124" s="3" t="str">
        <f>IF(E124="", "", IF(ISNUMBER(_xlfn.XMATCH(E124, 'Champions Sheet'!H:H)), "Found in Master", "MISSING in Alicia's"))</f>
        <v>MISSING in Alicia's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 t="s">
        <v>1222</v>
      </c>
      <c r="B125" s="10">
        <v>3.48369273E8</v>
      </c>
      <c r="C125" s="13" t="s">
        <v>1219</v>
      </c>
      <c r="D125" s="13" t="s">
        <v>1220</v>
      </c>
      <c r="E125" s="3" t="s">
        <v>1221</v>
      </c>
      <c r="F125" s="3" t="str">
        <f>IF(E125="", "", IF(ISNUMBER(_xlfn.XMATCH(E125, 'Champions Sheet'!H:H)), "Found in Master", "MISSING in Alicia's"))</f>
        <v>MISSING in Alicia's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 t="s">
        <v>175</v>
      </c>
      <c r="B126" s="10">
        <v>3.50523403E8</v>
      </c>
      <c r="C126" s="3" t="s">
        <v>1916</v>
      </c>
      <c r="D126" s="13" t="s">
        <v>173</v>
      </c>
      <c r="E126" s="3" t="s">
        <v>174</v>
      </c>
      <c r="F126" s="3" t="str">
        <f>IF(E126="", "", IF(ISNUMBER(_xlfn.XMATCH(E126, 'Champions Sheet'!H:H)), "Found in Master", "MISSING in Alicia's"))</f>
        <v>MISSING in Alicia's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3" t="s">
        <v>1164</v>
      </c>
      <c r="B127" s="10">
        <v>3.53141055E8</v>
      </c>
      <c r="C127" s="3" t="s">
        <v>1928</v>
      </c>
      <c r="D127" s="13" t="s">
        <v>1170</v>
      </c>
      <c r="E127" s="3" t="s">
        <v>1172</v>
      </c>
      <c r="F127" s="3" t="str">
        <f>IF(E127="", "", IF(ISNUMBER(_xlfn.XMATCH(E127, 'Champions Sheet'!H:H)), "Found in Master", "MISSING in Alicia's"))</f>
        <v>MISSING in Alicia's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 t="s">
        <v>784</v>
      </c>
      <c r="B128" s="10">
        <v>3.53845687E8</v>
      </c>
      <c r="C128" s="13" t="s">
        <v>778</v>
      </c>
      <c r="D128" s="13" t="s">
        <v>780</v>
      </c>
      <c r="E128" s="3" t="s">
        <v>783</v>
      </c>
      <c r="F128" s="3" t="str">
        <f>IF(E128="", "", IF(ISNUMBER(_xlfn.XMATCH(E128, 'Champions Sheet'!H:H)), "Found in Master", "MISSING in Alicia's"))</f>
        <v>Found in Master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 t="s">
        <v>843</v>
      </c>
      <c r="B129" s="10">
        <v>3.54020635E8</v>
      </c>
      <c r="C129" s="3" t="s">
        <v>1960</v>
      </c>
      <c r="D129" s="13" t="s">
        <v>846</v>
      </c>
      <c r="E129" s="3" t="s">
        <v>847</v>
      </c>
      <c r="F129" s="3" t="str">
        <f>IF(E129="", "", IF(ISNUMBER(_xlfn.XMATCH(E129, 'Champions Sheet'!H:H)), "Found in Master", "MISSING in Alicia's"))</f>
        <v>Found in Master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 t="s">
        <v>1068</v>
      </c>
      <c r="B130" s="10">
        <v>3.5556915E8</v>
      </c>
      <c r="C130" s="3" t="s">
        <v>1068</v>
      </c>
      <c r="D130" s="13" t="s">
        <v>1070</v>
      </c>
      <c r="E130" s="3" t="s">
        <v>1073</v>
      </c>
      <c r="F130" s="3" t="str">
        <f>IF(E130="", "", IF(ISNUMBER(_xlfn.XMATCH(E130, 'Champions Sheet'!H:H)), "Found in Master", "MISSING in Alicia's"))</f>
        <v>Found in Master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 t="s">
        <v>1135</v>
      </c>
      <c r="B131" s="10">
        <v>3.58011256E8</v>
      </c>
      <c r="C131" s="13" t="s">
        <v>1131</v>
      </c>
      <c r="D131" s="13" t="s">
        <v>1133</v>
      </c>
      <c r="E131" s="3" t="s">
        <v>1134</v>
      </c>
      <c r="F131" s="3" t="str">
        <f>IF(E131="", "", IF(ISNUMBER(_xlfn.XMATCH(E131, 'Champions Sheet'!H:H)), "Found in Master", "MISSING in Alicia's"))</f>
        <v>MISSING in Alicia's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 t="s">
        <v>908</v>
      </c>
      <c r="B132" s="10">
        <v>3.58017803E8</v>
      </c>
      <c r="C132" s="13" t="s">
        <v>899</v>
      </c>
      <c r="D132" s="13" t="s">
        <v>904</v>
      </c>
      <c r="E132" s="3" t="s">
        <v>907</v>
      </c>
      <c r="F132" s="3" t="str">
        <f>IF(E132="", "", IF(ISNUMBER(_xlfn.XMATCH(E132, 'Champions Sheet'!H:H)), "Found in Master", "MISSING in Alicia's"))</f>
        <v>Found in Master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 t="s">
        <v>1450</v>
      </c>
      <c r="B133" s="10">
        <v>3.59405403E8</v>
      </c>
      <c r="C133" s="3" t="s">
        <v>2018</v>
      </c>
      <c r="D133" s="13" t="s">
        <v>1448</v>
      </c>
      <c r="E133" s="3" t="s">
        <v>1449</v>
      </c>
      <c r="F133" s="3" t="str">
        <f>IF(E133="", "", IF(ISNUMBER(_xlfn.XMATCH(E133, 'Champions Sheet'!H:H)), "Found in Master", "MISSING in Alicia's"))</f>
        <v>MISSING in Alicia's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 t="s">
        <v>1942</v>
      </c>
      <c r="B134" s="10">
        <v>3.60639014E8</v>
      </c>
      <c r="C134" s="3" t="s">
        <v>2026</v>
      </c>
      <c r="D134" s="13" t="s">
        <v>1940</v>
      </c>
      <c r="E134" s="3" t="s">
        <v>1941</v>
      </c>
      <c r="F134" s="3" t="str">
        <f>IF(E134="", "", IF(ISNUMBER(_xlfn.XMATCH(E134, 'Champions Sheet'!H:H)), "Found in Master", "MISSING in Alicia's"))</f>
        <v>MISSING in Alicia's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 t="s">
        <v>1942</v>
      </c>
      <c r="B135" s="10">
        <v>3.60639014E8</v>
      </c>
      <c r="C135" s="3" t="s">
        <v>2033</v>
      </c>
      <c r="D135" s="13" t="s">
        <v>1944</v>
      </c>
      <c r="E135" s="3" t="s">
        <v>1945</v>
      </c>
      <c r="F135" s="3" t="str">
        <f>IF(E135="", "", IF(ISNUMBER(_xlfn.XMATCH(E135, 'Champions Sheet'!H:H)), "Found in Master", "MISSING in Alicia's"))</f>
        <v>MISSING in Alicia's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 t="s">
        <v>1005</v>
      </c>
      <c r="B136" s="10">
        <v>3.61048293E8</v>
      </c>
      <c r="C136" s="13" t="s">
        <v>1136</v>
      </c>
      <c r="D136" s="13" t="s">
        <v>1006</v>
      </c>
      <c r="E136" s="3" t="s">
        <v>1014</v>
      </c>
      <c r="F136" s="3" t="str">
        <f>IF(E136="", "", IF(ISNUMBER(_xlfn.XMATCH(E136, 'Champions Sheet'!H:H)), "Found in Master", "MISSING in Alicia's"))</f>
        <v>MISSING in Alicia's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 t="s">
        <v>1896</v>
      </c>
      <c r="B137" s="10">
        <v>3.61108596E8</v>
      </c>
      <c r="C137" s="3" t="s">
        <v>2034</v>
      </c>
      <c r="D137" s="13" t="s">
        <v>1894</v>
      </c>
      <c r="E137" s="3" t="s">
        <v>1895</v>
      </c>
      <c r="F137" s="3" t="str">
        <f>IF(E137="", "", IF(ISNUMBER(_xlfn.XMATCH(E137, 'Champions Sheet'!H:H)), "Found in Master", "MISSING in Alicia's"))</f>
        <v>MISSING in Alicia's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 t="s">
        <v>1107</v>
      </c>
      <c r="B138" s="10">
        <v>3.61192997E8</v>
      </c>
      <c r="C138" s="3" t="s">
        <v>2035</v>
      </c>
      <c r="D138" s="13" t="s">
        <v>1099</v>
      </c>
      <c r="E138" s="3" t="s">
        <v>1262</v>
      </c>
      <c r="F138" s="3" t="str">
        <f>IF(E138="", "", IF(ISNUMBER(_xlfn.XMATCH(E138, 'Champions Sheet'!H:H)), "Found in Master", "MISSING in Alicia's"))</f>
        <v>MISSING in Alicia's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 t="s">
        <v>636</v>
      </c>
      <c r="B139" s="10">
        <v>3.61210791E8</v>
      </c>
      <c r="C139" s="3" t="s">
        <v>2036</v>
      </c>
      <c r="D139" s="13" t="s">
        <v>637</v>
      </c>
      <c r="E139" s="3" t="s">
        <v>642</v>
      </c>
      <c r="F139" s="3" t="str">
        <f>IF(E139="", "", IF(ISNUMBER(_xlfn.XMATCH(E139, 'Champions Sheet'!H:H)), "Found in Master", "MISSING in Alicia's"))</f>
        <v>MISSING in Alicia's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 t="s">
        <v>1963</v>
      </c>
      <c r="B140" s="10">
        <v>3.61440077E8</v>
      </c>
      <c r="C140" s="3" t="s">
        <v>2037</v>
      </c>
      <c r="D140" s="13" t="s">
        <v>1961</v>
      </c>
      <c r="E140" s="3" t="s">
        <v>1962</v>
      </c>
      <c r="F140" s="3" t="str">
        <f>IF(E140="", "", IF(ISNUMBER(_xlfn.XMATCH(E140, 'Champions Sheet'!H:H)), "Found in Master", "MISSING in Alicia's"))</f>
        <v>MISSING in Alicia's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 t="s">
        <v>1583</v>
      </c>
      <c r="B141" s="10">
        <v>3.61505697E8</v>
      </c>
      <c r="C141" s="3" t="s">
        <v>2038</v>
      </c>
      <c r="D141" s="13" t="s">
        <v>1581</v>
      </c>
      <c r="E141" s="3" t="s">
        <v>1582</v>
      </c>
      <c r="F141" s="3" t="str">
        <f>IF(E141="", "", IF(ISNUMBER(_xlfn.XMATCH(E141, 'Champions Sheet'!H:H)), "Found in Master", "MISSING in Alicia's"))</f>
        <v>MISSING in Alicia's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 t="s">
        <v>1344</v>
      </c>
      <c r="B142" s="10">
        <v>3.62186129E8</v>
      </c>
      <c r="C142" s="3" t="s">
        <v>2039</v>
      </c>
      <c r="D142" s="13" t="s">
        <v>1341</v>
      </c>
      <c r="E142" s="3" t="s">
        <v>1342</v>
      </c>
      <c r="F142" s="3" t="str">
        <f>IF(E142="", "", IF(ISNUMBER(_xlfn.XMATCH(E142, 'Champions Sheet'!H:H)), "Found in Master", "MISSING in Alicia's"))</f>
        <v>MISSING in Alicia's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 t="s">
        <v>316</v>
      </c>
      <c r="B143" s="10">
        <v>3.62376887E8</v>
      </c>
      <c r="C143" s="3" t="s">
        <v>2040</v>
      </c>
      <c r="D143" s="13" t="s">
        <v>317</v>
      </c>
      <c r="E143" s="3" t="s">
        <v>328</v>
      </c>
      <c r="F143" s="3" t="str">
        <f>IF(E143="", "", IF(ISNUMBER(_xlfn.XMATCH(E143, 'Champions Sheet'!H:H)), "Found in Master", "MISSING in Alicia's"))</f>
        <v>MISSING in Alicia's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 t="s">
        <v>1989</v>
      </c>
      <c r="B144" s="10">
        <v>3.62409942E8</v>
      </c>
      <c r="C144" s="3" t="s">
        <v>2041</v>
      </c>
      <c r="D144" s="13" t="s">
        <v>1987</v>
      </c>
      <c r="E144" s="3" t="s">
        <v>1988</v>
      </c>
      <c r="F144" s="3" t="str">
        <f>IF(E144="", "", IF(ISNUMBER(_xlfn.XMATCH(E144, 'Champions Sheet'!H:H)), "Found in Master", "MISSING in Alicia's"))</f>
        <v>MISSING in Alicia's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 t="s">
        <v>334</v>
      </c>
      <c r="B145" s="10">
        <v>3.62601737E8</v>
      </c>
      <c r="C145" s="3" t="s">
        <v>2042</v>
      </c>
      <c r="D145" s="13" t="s">
        <v>335</v>
      </c>
      <c r="E145" s="3" t="s">
        <v>339</v>
      </c>
      <c r="F145" s="3" t="str">
        <f>IF(E145="", "", IF(ISNUMBER(_xlfn.XMATCH(E145, 'Champions Sheet'!H:H)), "Found in Master", "MISSING in Alicia's"))</f>
        <v>MISSING in Alicia's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 t="s">
        <v>2043</v>
      </c>
      <c r="B146" s="10">
        <v>3.62788891E8</v>
      </c>
      <c r="C146" s="3" t="s">
        <v>2044</v>
      </c>
      <c r="D146" s="13" t="s">
        <v>1239</v>
      </c>
      <c r="E146" s="3" t="s">
        <v>1240</v>
      </c>
      <c r="F146" s="3" t="str">
        <f>IF(E146="", "", IF(ISNUMBER(_xlfn.XMATCH(E146, 'Champions Sheet'!H:H)), "Found in Master", "MISSING in Alicia's"))</f>
        <v>MISSING in Alicia's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 t="s">
        <v>1595</v>
      </c>
      <c r="B147" s="10">
        <v>3.62794541E8</v>
      </c>
      <c r="C147" s="3" t="s">
        <v>2045</v>
      </c>
      <c r="D147" s="13" t="s">
        <v>1593</v>
      </c>
      <c r="E147" s="3" t="s">
        <v>1594</v>
      </c>
      <c r="F147" s="3" t="str">
        <f>IF(E147="", "", IF(ISNUMBER(_xlfn.XMATCH(E147, 'Champions Sheet'!H:H)), "Found in Master", "MISSING in Alicia's"))</f>
        <v>MISSING in Alicia's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 t="s">
        <v>1601</v>
      </c>
      <c r="B148" s="10">
        <v>3.6295701E8</v>
      </c>
      <c r="C148" s="3" t="s">
        <v>2046</v>
      </c>
      <c r="D148" s="13" t="s">
        <v>1599</v>
      </c>
      <c r="E148" s="3" t="s">
        <v>1600</v>
      </c>
      <c r="F148" s="3" t="str">
        <f>IF(E148="", "", IF(ISNUMBER(_xlfn.XMATCH(E148, 'Champions Sheet'!H:H)), "Found in Master", "MISSING in Alicia's"))</f>
        <v>MISSING in Alicia's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 t="s">
        <v>1931</v>
      </c>
      <c r="B149" s="10">
        <v>3.64204699E8</v>
      </c>
      <c r="C149" s="3" t="s">
        <v>2047</v>
      </c>
      <c r="D149" s="13" t="s">
        <v>1929</v>
      </c>
      <c r="E149" s="3" t="s">
        <v>1930</v>
      </c>
      <c r="F149" s="3" t="str">
        <f>IF(E149="", "", IF(ISNUMBER(_xlfn.XMATCH(E149, 'Champions Sheet'!H:H)), "Found in Master", "MISSING in Alicia's"))</f>
        <v>MISSING in Alicia's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 t="s">
        <v>905</v>
      </c>
      <c r="B150" s="10">
        <v>3.6492306E8</v>
      </c>
      <c r="C150" s="13" t="s">
        <v>901</v>
      </c>
      <c r="D150" s="13" t="s">
        <v>902</v>
      </c>
      <c r="E150" s="3" t="s">
        <v>903</v>
      </c>
      <c r="F150" s="3" t="str">
        <f>IF(E150="", "", IF(ISNUMBER(_xlfn.XMATCH(E150, 'Champions Sheet'!H:H)), "Found in Master", "MISSING in Alicia's"))</f>
        <v>MISSING in Alicia's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 t="s">
        <v>506</v>
      </c>
      <c r="B151" s="10">
        <v>3.64947965E8</v>
      </c>
      <c r="C151" s="3" t="s">
        <v>2049</v>
      </c>
      <c r="D151" s="13" t="s">
        <v>507</v>
      </c>
      <c r="E151" s="3" t="s">
        <v>512</v>
      </c>
      <c r="F151" s="3" t="str">
        <f>IF(E151="", "", IF(ISNUMBER(_xlfn.XMATCH(E151, 'Champions Sheet'!H:H)), "Found in Master", "MISSING in Alicia's"))</f>
        <v>MISSING in Alicia's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 t="s">
        <v>2007</v>
      </c>
      <c r="B152" s="10">
        <v>3.64999585E8</v>
      </c>
      <c r="C152" s="3" t="s">
        <v>2050</v>
      </c>
      <c r="D152" s="13" t="s">
        <v>2005</v>
      </c>
      <c r="E152" s="3" t="s">
        <v>2006</v>
      </c>
      <c r="F152" s="3" t="str">
        <f>IF(E152="", "", IF(ISNUMBER(_xlfn.XMATCH(E152, 'Champions Sheet'!H:H)), "Found in Master", "MISSING in Alicia's"))</f>
        <v>MISSING in Alicia's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 t="s">
        <v>1452</v>
      </c>
      <c r="B153" s="10">
        <v>3.65089704E8</v>
      </c>
      <c r="C153" s="3" t="s">
        <v>2051</v>
      </c>
      <c r="D153" s="13" t="s">
        <v>1706</v>
      </c>
      <c r="E153" s="3" t="s">
        <v>1707</v>
      </c>
      <c r="F153" s="3" t="str">
        <f>IF(E153="", "", IF(ISNUMBER(_xlfn.XMATCH(E153, 'Champions Sheet'!H:H)), "Found in Master", "MISSING in Alicia's"))</f>
        <v>MISSING in Alicia's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 t="s">
        <v>809</v>
      </c>
      <c r="B154" s="10">
        <v>3.65177443E8</v>
      </c>
      <c r="C154" s="13" t="s">
        <v>801</v>
      </c>
      <c r="D154" s="13" t="s">
        <v>804</v>
      </c>
      <c r="E154" s="3" t="s">
        <v>807</v>
      </c>
      <c r="F154" s="3" t="str">
        <f>IF(E154="", "", IF(ISNUMBER(_xlfn.XMATCH(E154, 'Champions Sheet'!H:H)), "Found in Master", "MISSING in Alicia's"))</f>
        <v>Found in Master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 t="s">
        <v>1578</v>
      </c>
      <c r="B155" s="10">
        <v>3.66088702E8</v>
      </c>
      <c r="C155" s="3" t="s">
        <v>2052</v>
      </c>
      <c r="D155" s="13" t="s">
        <v>1576</v>
      </c>
      <c r="E155" s="3" t="s">
        <v>1577</v>
      </c>
      <c r="F155" s="3" t="str">
        <f>IF(E155="", "", IF(ISNUMBER(_xlfn.XMATCH(E155, 'Champions Sheet'!H:H)), "Found in Master", "MISSING in Alicia's"))</f>
        <v>MISSING in Alicia's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 t="s">
        <v>742</v>
      </c>
      <c r="B156" s="10">
        <v>3.6708287E8</v>
      </c>
      <c r="C156" s="3" t="s">
        <v>2053</v>
      </c>
      <c r="D156" s="13" t="s">
        <v>740</v>
      </c>
      <c r="E156" s="3" t="s">
        <v>741</v>
      </c>
      <c r="F156" s="3" t="str">
        <f>IF(E156="", "", IF(ISNUMBER(_xlfn.XMATCH(E156, 'Champions Sheet'!H:H)), "Found in Master", "MISSING in Alicia's"))</f>
        <v>MISSING in Alicia's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 t="s">
        <v>1923</v>
      </c>
      <c r="B157" s="10">
        <v>3.67393892E8</v>
      </c>
      <c r="C157" s="3" t="s">
        <v>2054</v>
      </c>
      <c r="D157" s="13" t="s">
        <v>1921</v>
      </c>
      <c r="E157" s="3" t="s">
        <v>1922</v>
      </c>
      <c r="F157" s="3" t="str">
        <f>IF(E157="", "", IF(ISNUMBER(_xlfn.XMATCH(E157, 'Champions Sheet'!H:H)), "Found in Master", "MISSING in Alicia's"))</f>
        <v>MISSING in Alicia's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 t="s">
        <v>409</v>
      </c>
      <c r="B158" s="10">
        <v>3.67864194E8</v>
      </c>
      <c r="C158" s="3" t="s">
        <v>2056</v>
      </c>
      <c r="D158" s="13" t="s">
        <v>410</v>
      </c>
      <c r="E158" s="3" t="s">
        <v>414</v>
      </c>
      <c r="F158" s="3" t="str">
        <f>IF(E158="", "", IF(ISNUMBER(_xlfn.XMATCH(E158, 'Champions Sheet'!H:H)), "Found in Master", "MISSING in Alicia's"))</f>
        <v>MISSING in Alicia's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 t="s">
        <v>1314</v>
      </c>
      <c r="B159" s="10">
        <v>3.68479467E8</v>
      </c>
      <c r="C159" s="3" t="s">
        <v>2057</v>
      </c>
      <c r="D159" s="13" t="s">
        <v>1585</v>
      </c>
      <c r="E159" s="3" t="s">
        <v>1586</v>
      </c>
      <c r="F159" s="3" t="str">
        <f>IF(E159="", "", IF(ISNUMBER(_xlfn.XMATCH(E159, 'Champions Sheet'!H:H)), "Found in Master", "MISSING in Alicia's"))</f>
        <v>MISSING in Alicia's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 t="s">
        <v>658</v>
      </c>
      <c r="B160" s="10">
        <v>3.69457757E8</v>
      </c>
      <c r="C160" s="3" t="s">
        <v>2058</v>
      </c>
      <c r="D160" s="13" t="s">
        <v>656</v>
      </c>
      <c r="E160" s="3" t="s">
        <v>657</v>
      </c>
      <c r="F160" s="3" t="str">
        <f>IF(E160="", "", IF(ISNUMBER(_xlfn.XMATCH(E160, 'Champions Sheet'!H:H)), "Found in Master", "MISSING in Alicia's"))</f>
        <v>MISSING in Alicia's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 t="s">
        <v>2015</v>
      </c>
      <c r="B161" s="10">
        <v>3.69465002E8</v>
      </c>
      <c r="C161" s="3" t="s">
        <v>2015</v>
      </c>
      <c r="D161" s="13" t="s">
        <v>2016</v>
      </c>
      <c r="E161" s="3" t="s">
        <v>2017</v>
      </c>
      <c r="F161" s="3" t="str">
        <f>IF(E161="", "", IF(ISNUMBER(_xlfn.XMATCH(E161, 'Champions Sheet'!H:H)), "Found in Master", "MISSING in Alicia's"))</f>
        <v>MISSING in Alicia's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 t="s">
        <v>1143</v>
      </c>
      <c r="B162" s="10">
        <v>3.70585777E8</v>
      </c>
      <c r="C162" s="3" t="s">
        <v>2059</v>
      </c>
      <c r="D162" s="13" t="s">
        <v>1137</v>
      </c>
      <c r="E162" s="3" t="s">
        <v>1142</v>
      </c>
      <c r="F162" s="3" t="str">
        <f>IF(E162="", "", IF(ISNUMBER(_xlfn.XMATCH(E162, 'Champions Sheet'!H:H)), "Found in Master", "MISSING in Alicia's"))</f>
        <v>Found in Master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 t="s">
        <v>1143</v>
      </c>
      <c r="B163" s="10">
        <v>3.70585777E8</v>
      </c>
      <c r="C163" s="3" t="s">
        <v>2060</v>
      </c>
      <c r="D163" s="13" t="s">
        <v>1137</v>
      </c>
      <c r="E163" s="3" t="s">
        <v>1307</v>
      </c>
      <c r="F163" s="3" t="str">
        <f>IF(E163="", "", IF(ISNUMBER(_xlfn.XMATCH(E163, 'Champions Sheet'!H:H)), "Found in Master", "MISSING in Alicia's"))</f>
        <v>MISSING in Alicia's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 t="s">
        <v>1155</v>
      </c>
      <c r="B164" s="10">
        <v>3.70769889E8</v>
      </c>
      <c r="C164" s="3" t="s">
        <v>2061</v>
      </c>
      <c r="D164" s="13" t="s">
        <v>1148</v>
      </c>
      <c r="E164" s="3" t="s">
        <v>1153</v>
      </c>
      <c r="F164" s="3" t="str">
        <f>IF(E164="", "", IF(ISNUMBER(_xlfn.XMATCH(E164, 'Champions Sheet'!H:H)), "Found in Master", "MISSING in Alicia's"))</f>
        <v>Found in Master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 t="s">
        <v>869</v>
      </c>
      <c r="B165" s="10">
        <v>3.70844141E8</v>
      </c>
      <c r="C165" s="13" t="s">
        <v>864</v>
      </c>
      <c r="D165" s="13" t="s">
        <v>866</v>
      </c>
      <c r="E165" s="3" t="s">
        <v>868</v>
      </c>
      <c r="F165" s="3" t="str">
        <f>IF(E165="", "", IF(ISNUMBER(_xlfn.XMATCH(E165, 'Champions Sheet'!H:H)), "Found in Master", "MISSING in Alicia's"))</f>
        <v>Found in Master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 t="s">
        <v>1589</v>
      </c>
      <c r="B166" s="10">
        <v>3.71015E8</v>
      </c>
      <c r="C166" s="3" t="s">
        <v>2065</v>
      </c>
      <c r="D166" s="13" t="s">
        <v>1587</v>
      </c>
      <c r="E166" s="3" t="s">
        <v>1588</v>
      </c>
      <c r="F166" s="3" t="str">
        <f>IF(E166="", "", IF(ISNUMBER(_xlfn.XMATCH(E166, 'Champions Sheet'!H:H)), "Found in Master", "MISSING in Alicia's"))</f>
        <v>MISSING in Alicia's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 t="s">
        <v>1959</v>
      </c>
      <c r="B167" s="10">
        <v>3.71186204E8</v>
      </c>
      <c r="C167" s="3" t="s">
        <v>2066</v>
      </c>
      <c r="D167" s="13" t="s">
        <v>1957</v>
      </c>
      <c r="E167" s="3" t="s">
        <v>1958</v>
      </c>
      <c r="F167" s="3" t="str">
        <f>IF(E167="", "", IF(ISNUMBER(_xlfn.XMATCH(E167, 'Champions Sheet'!H:H)), "Found in Master", "MISSING in Alicia's"))</f>
        <v>MISSING in Alicia's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 t="s">
        <v>1012</v>
      </c>
      <c r="B168" s="10">
        <v>3.72006334E8</v>
      </c>
      <c r="C168" s="13" t="s">
        <v>2067</v>
      </c>
      <c r="D168" s="13" t="s">
        <v>1008</v>
      </c>
      <c r="E168" s="3" t="s">
        <v>1011</v>
      </c>
      <c r="F168" s="3" t="str">
        <f>IF(E168="", "", IF(ISNUMBER(_xlfn.XMATCH(E168, 'Champions Sheet'!H:H)), "Found in Master", "MISSING in Alicia's"))</f>
        <v>MISSING in Alicia's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 t="s">
        <v>1954</v>
      </c>
      <c r="B169" s="10">
        <v>3.72069199E8</v>
      </c>
      <c r="C169" s="3" t="s">
        <v>2068</v>
      </c>
      <c r="D169" s="13" t="s">
        <v>1952</v>
      </c>
      <c r="E169" s="3" t="s">
        <v>1953</v>
      </c>
      <c r="F169" s="3" t="str">
        <f>IF(E169="", "", IF(ISNUMBER(_xlfn.XMATCH(E169, 'Champions Sheet'!H:H)), "Found in Master", "MISSING in Alicia's"))</f>
        <v>MISSING in Alicia's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 t="s">
        <v>1130</v>
      </c>
      <c r="B170" s="10">
        <v>3.72895542E8</v>
      </c>
      <c r="C170" s="3" t="s">
        <v>2069</v>
      </c>
      <c r="D170" s="13" t="s">
        <v>1132</v>
      </c>
      <c r="E170" s="3" t="s">
        <v>1140</v>
      </c>
      <c r="F170" s="3" t="str">
        <f>IF(E170="", "", IF(ISNUMBER(_xlfn.XMATCH(E170, 'Champions Sheet'!H:H)), "Found in Master", "MISSING in Alicia's"))</f>
        <v>Found in Master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 t="s">
        <v>1257</v>
      </c>
      <c r="B171" s="10">
        <v>3.73230768E8</v>
      </c>
      <c r="C171" s="3" t="s">
        <v>2070</v>
      </c>
      <c r="D171" s="13" t="s">
        <v>1253</v>
      </c>
      <c r="E171" s="3" t="s">
        <v>1256</v>
      </c>
      <c r="F171" s="3" t="str">
        <f>IF(E171="", "", IF(ISNUMBER(_xlfn.XMATCH(E171, 'Champions Sheet'!H:H)), "Found in Master", "MISSING in Alicia's"))</f>
        <v>Found in Master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 t="s">
        <v>939</v>
      </c>
      <c r="B172" s="10">
        <v>3.74029539E8</v>
      </c>
      <c r="C172" s="13" t="s">
        <v>934</v>
      </c>
      <c r="D172" s="13" t="s">
        <v>935</v>
      </c>
      <c r="E172" s="3" t="s">
        <v>938</v>
      </c>
      <c r="F172" s="3" t="str">
        <f>IF(E172="", "", IF(ISNUMBER(_xlfn.XMATCH(E172, 'Champions Sheet'!H:H)), "Found in Master", "MISSING in Alicia's"))</f>
        <v>MISSING in Alicia's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 t="s">
        <v>666</v>
      </c>
      <c r="B173" s="10">
        <v>3.74142951E8</v>
      </c>
      <c r="C173" s="3" t="s">
        <v>666</v>
      </c>
      <c r="D173" s="13" t="s">
        <v>668</v>
      </c>
      <c r="E173" s="3" t="s">
        <v>671</v>
      </c>
      <c r="F173" s="3" t="str">
        <f>IF(E173="", "", IF(ISNUMBER(_xlfn.XMATCH(E173, 'Champions Sheet'!H:H)), "Found in Master", "MISSING in Alicia's"))</f>
        <v>MISSING in Alicia's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 t="s">
        <v>925</v>
      </c>
      <c r="B174" s="10">
        <v>3.74618433E8</v>
      </c>
      <c r="C174" s="3" t="s">
        <v>2071</v>
      </c>
      <c r="D174" s="13" t="s">
        <v>923</v>
      </c>
      <c r="E174" s="3" t="s">
        <v>924</v>
      </c>
      <c r="F174" s="3" t="str">
        <f>IF(E174="", "", IF(ISNUMBER(_xlfn.XMATCH(E174, 'Champions Sheet'!H:H)), "Found in Master", "MISSING in Alicia's"))</f>
        <v>MISSING in Alicia's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 t="s">
        <v>1427</v>
      </c>
      <c r="B175" s="10">
        <v>3.75649177E8</v>
      </c>
      <c r="C175" s="3" t="s">
        <v>2072</v>
      </c>
      <c r="D175" s="13" t="s">
        <v>1424</v>
      </c>
      <c r="E175" s="3" t="s">
        <v>1426</v>
      </c>
      <c r="F175" s="3" t="str">
        <f>IF(E175="", "", IF(ISNUMBER(_xlfn.XMATCH(E175, 'Champions Sheet'!H:H)), "Found in Master", "MISSING in Alicia's"))</f>
        <v>MISSING in Alicia's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 t="s">
        <v>1497</v>
      </c>
      <c r="B176" s="10">
        <v>3.7565071E8</v>
      </c>
      <c r="C176" s="3" t="s">
        <v>2073</v>
      </c>
      <c r="D176" s="13" t="s">
        <v>1495</v>
      </c>
      <c r="E176" s="3" t="s">
        <v>1496</v>
      </c>
      <c r="F176" s="3" t="str">
        <f>IF(E176="", "", IF(ISNUMBER(_xlfn.XMATCH(E176, 'Champions Sheet'!H:H)), "Found in Master", "MISSING in Alicia's"))</f>
        <v>MISSING in Alicia's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 t="s">
        <v>1459</v>
      </c>
      <c r="B177" s="10">
        <v>3.75650795E8</v>
      </c>
      <c r="C177" s="3" t="s">
        <v>2074</v>
      </c>
      <c r="D177" s="13" t="s">
        <v>1457</v>
      </c>
      <c r="E177" s="3" t="s">
        <v>1458</v>
      </c>
      <c r="F177" s="3" t="str">
        <f>IF(E177="", "", IF(ISNUMBER(_xlfn.XMATCH(E177, 'Champions Sheet'!H:H)), "Found in Master", "MISSING in Alicia's"))</f>
        <v>MISSING in Alicia's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 t="s">
        <v>1432</v>
      </c>
      <c r="B178" s="10">
        <v>3.75662306E8</v>
      </c>
      <c r="C178" s="3" t="s">
        <v>2075</v>
      </c>
      <c r="D178" s="13" t="s">
        <v>1430</v>
      </c>
      <c r="E178" s="3" t="s">
        <v>1431</v>
      </c>
      <c r="F178" s="3" t="str">
        <f>IF(E178="", "", IF(ISNUMBER(_xlfn.XMATCH(E178, 'Champions Sheet'!H:H)), "Found in Master", "MISSING in Alicia's"))</f>
        <v>MISSING in Alicia's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 t="s">
        <v>1572</v>
      </c>
      <c r="B179" s="10">
        <v>3.76940287E8</v>
      </c>
      <c r="C179" s="13" t="s">
        <v>1569</v>
      </c>
      <c r="D179" s="13" t="s">
        <v>1570</v>
      </c>
      <c r="E179" s="3" t="s">
        <v>1571</v>
      </c>
      <c r="F179" s="3" t="str">
        <f>IF(E179="", "", IF(ISNUMBER(_xlfn.XMATCH(E179, 'Champions Sheet'!H:H)), "Found in Master", "MISSING in Alicia's"))</f>
        <v>MISSING in Alicia's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 t="s">
        <v>1228</v>
      </c>
      <c r="B180" s="10">
        <v>3.77129194E8</v>
      </c>
      <c r="C180" s="3" t="s">
        <v>2076</v>
      </c>
      <c r="D180" s="13" t="s">
        <v>2077</v>
      </c>
      <c r="E180" s="3" t="s">
        <v>1226</v>
      </c>
      <c r="F180" s="3" t="str">
        <f>IF(E180="", "", IF(ISNUMBER(_xlfn.XMATCH(E180, 'Champions Sheet'!H:H)), "Found in Master", "MISSING in Alicia's"))</f>
        <v>MISSING in Alicia's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 t="s">
        <v>1455</v>
      </c>
      <c r="B181" s="10">
        <v>3.80514547E8</v>
      </c>
      <c r="C181" s="3" t="s">
        <v>2078</v>
      </c>
      <c r="D181" s="13" t="s">
        <v>825</v>
      </c>
      <c r="E181" s="3" t="s">
        <v>1454</v>
      </c>
      <c r="F181" s="3" t="str">
        <f>IF(E181="", "", IF(ISNUMBER(_xlfn.XMATCH(E181, 'Champions Sheet'!H:H)), "Found in Master", "MISSING in Alicia's"))</f>
        <v>MISSING in Alicia's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 t="s">
        <v>1580</v>
      </c>
      <c r="B182" s="10">
        <v>3.81512247E8</v>
      </c>
      <c r="C182" s="3" t="s">
        <v>2079</v>
      </c>
      <c r="D182" s="13" t="s">
        <v>497</v>
      </c>
      <c r="E182" s="3" t="s">
        <v>1579</v>
      </c>
      <c r="F182" s="3" t="str">
        <f>IF(E182="", "", IF(ISNUMBER(_xlfn.XMATCH(E182, 'Champions Sheet'!H:H)), "Found in Master", "MISSING in Alicia's"))</f>
        <v>MISSING in Alicia's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 t="s">
        <v>726</v>
      </c>
      <c r="B183" s="10">
        <v>3.81552973E8</v>
      </c>
      <c r="C183" s="3" t="s">
        <v>2080</v>
      </c>
      <c r="D183" s="13" t="s">
        <v>727</v>
      </c>
      <c r="E183" s="3" t="s">
        <v>732</v>
      </c>
      <c r="F183" s="3" t="str">
        <f>IF(E183="", "", IF(ISNUMBER(_xlfn.XMATCH(E183, 'Champions Sheet'!H:H)), "Found in Master", "MISSING in Alicia's"))</f>
        <v>MISSING in Alicia's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 t="s">
        <v>1202</v>
      </c>
      <c r="B184" s="10">
        <v>3.81626468E8</v>
      </c>
      <c r="C184" s="3" t="s">
        <v>2081</v>
      </c>
      <c r="D184" s="13" t="s">
        <v>1466</v>
      </c>
      <c r="E184" s="3" t="s">
        <v>1467</v>
      </c>
      <c r="F184" s="3" t="str">
        <f>IF(E184="", "", IF(ISNUMBER(_xlfn.XMATCH(E184, 'Champions Sheet'!H:H)), "Found in Master", "MISSING in Alicia's"))</f>
        <v>MISSING in Alicia's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 t="s">
        <v>1437</v>
      </c>
      <c r="B185" s="10">
        <v>3.81627165E8</v>
      </c>
      <c r="C185" s="3" t="s">
        <v>2082</v>
      </c>
      <c r="D185" s="13" t="s">
        <v>1435</v>
      </c>
      <c r="E185" s="3" t="s">
        <v>1436</v>
      </c>
      <c r="F185" s="3" t="str">
        <f>IF(E185="", "", IF(ISNUMBER(_xlfn.XMATCH(E185, 'Champions Sheet'!H:H)), "Found in Master", "MISSING in Alicia's"))</f>
        <v>MISSING in Alicia's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 t="s">
        <v>1238</v>
      </c>
      <c r="B186" s="10">
        <v>3.8162988E8</v>
      </c>
      <c r="C186" s="3" t="s">
        <v>2086</v>
      </c>
      <c r="D186" s="13" t="s">
        <v>1235</v>
      </c>
      <c r="E186" s="3" t="s">
        <v>1236</v>
      </c>
      <c r="F186" s="3" t="str">
        <f>IF(E186="", "", IF(ISNUMBER(_xlfn.XMATCH(E186, 'Champions Sheet'!H:H)), "Found in Master", "MISSING in Alicia's"))</f>
        <v>MISSING in Alicia's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 t="s">
        <v>1463</v>
      </c>
      <c r="B187" s="10">
        <v>3.81630477E8</v>
      </c>
      <c r="C187" s="3" t="s">
        <v>1463</v>
      </c>
      <c r="D187" s="13" t="s">
        <v>1461</v>
      </c>
      <c r="E187" s="3" t="s">
        <v>1462</v>
      </c>
      <c r="F187" s="3" t="str">
        <f>IF(E187="", "", IF(ISNUMBER(_xlfn.XMATCH(E187, 'Champions Sheet'!H:H)), "Found in Master", "MISSING in Alicia's"))</f>
        <v>MISSING in Alicia's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 t="s">
        <v>1475</v>
      </c>
      <c r="B188" s="10">
        <v>3.81633207E8</v>
      </c>
      <c r="C188" s="3" t="s">
        <v>2087</v>
      </c>
      <c r="D188" s="13" t="s">
        <v>1473</v>
      </c>
      <c r="E188" s="3" t="s">
        <v>1474</v>
      </c>
      <c r="F188" s="3" t="str">
        <f>IF(E188="", "", IF(ISNUMBER(_xlfn.XMATCH(E188, 'Champions Sheet'!H:H)), "Found in Master", "MISSING in Alicia's"))</f>
        <v>MISSING in Alicia's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 t="s">
        <v>972</v>
      </c>
      <c r="B189" s="10">
        <v>3.81637422E8</v>
      </c>
      <c r="C189" s="3" t="s">
        <v>2088</v>
      </c>
      <c r="D189" s="13" t="s">
        <v>973</v>
      </c>
      <c r="E189" s="3" t="s">
        <v>976</v>
      </c>
      <c r="F189" s="3" t="str">
        <f>IF(E189="", "", IF(ISNUMBER(_xlfn.XMATCH(E189, 'Champions Sheet'!H:H)), "Found in Master", "MISSING in Alicia's"))</f>
        <v>MISSING in Alicia's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 t="s">
        <v>2010</v>
      </c>
      <c r="B190" s="10">
        <v>3.81638159E8</v>
      </c>
      <c r="C190" s="3" t="s">
        <v>2089</v>
      </c>
      <c r="D190" s="13" t="s">
        <v>2008</v>
      </c>
      <c r="E190" s="3" t="s">
        <v>2009</v>
      </c>
      <c r="F190" s="3" t="str">
        <f>IF(E190="", "", IF(ISNUMBER(_xlfn.XMATCH(E190, 'Champions Sheet'!H:H)), "Found in Master", "MISSING in Alicia's"))</f>
        <v>MISSING in Alicia's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 t="s">
        <v>44</v>
      </c>
      <c r="B191" s="10">
        <v>3.81643798E8</v>
      </c>
      <c r="C191" s="3" t="s">
        <v>2090</v>
      </c>
      <c r="D191" s="13" t="s">
        <v>45</v>
      </c>
      <c r="E191" s="3" t="s">
        <v>54</v>
      </c>
      <c r="F191" s="3" t="str">
        <f>IF(E191="", "", IF(ISNUMBER(_xlfn.XMATCH(E191, 'Champions Sheet'!H:H)), "Found in Master", "MISSING in Alicia's"))</f>
        <v>MISSING in Alicia's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 t="s">
        <v>1224</v>
      </c>
      <c r="B192" s="10">
        <v>3.81647037E8</v>
      </c>
      <c r="C192" s="3" t="s">
        <v>2091</v>
      </c>
      <c r="D192" s="13" t="s">
        <v>1278</v>
      </c>
      <c r="E192" s="3" t="s">
        <v>1568</v>
      </c>
      <c r="F192" s="3" t="str">
        <f>IF(E192="", "", IF(ISNUMBER(_xlfn.XMATCH(E192, 'Champions Sheet'!H:H)), "Found in Master", "MISSING in Alicia's"))</f>
        <v>MISSING in Alicia's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 t="s">
        <v>2004</v>
      </c>
      <c r="B193" s="10">
        <v>3.81648802E8</v>
      </c>
      <c r="C193" s="3" t="s">
        <v>2092</v>
      </c>
      <c r="D193" s="13" t="s">
        <v>2002</v>
      </c>
      <c r="E193" s="3" t="s">
        <v>2003</v>
      </c>
      <c r="F193" s="3" t="str">
        <f>IF(E193="", "", IF(ISNUMBER(_xlfn.XMATCH(E193, 'Champions Sheet'!H:H)), "Found in Master", "MISSING in Alicia's"))</f>
        <v>MISSING in Alicia's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 t="s">
        <v>576</v>
      </c>
      <c r="B194" s="10">
        <v>3.82423941E8</v>
      </c>
      <c r="C194" s="3" t="s">
        <v>2093</v>
      </c>
      <c r="D194" s="13" t="s">
        <v>578</v>
      </c>
      <c r="E194" s="3" t="s">
        <v>583</v>
      </c>
      <c r="F194" s="3" t="str">
        <f>IF(E194="", "", IF(ISNUMBER(_xlfn.XMATCH(E194, 'Champions Sheet'!H:H)), "Found in Master", "MISSING in Alicia's"))</f>
        <v>MISSING in Alicia's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 t="s">
        <v>1610</v>
      </c>
      <c r="B195" s="10">
        <v>3.83873666E8</v>
      </c>
      <c r="C195" s="3" t="s">
        <v>2094</v>
      </c>
      <c r="D195" s="13" t="s">
        <v>1608</v>
      </c>
      <c r="E195" s="3" t="s">
        <v>1609</v>
      </c>
      <c r="F195" s="3" t="str">
        <f>IF(E195="", "", IF(ISNUMBER(_xlfn.XMATCH(E195, 'Champions Sheet'!H:H)), "Found in Master", "MISSING in Alicia's"))</f>
        <v>MISSING in Alicia's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 t="s">
        <v>159</v>
      </c>
      <c r="B196" s="10">
        <v>3.85127374E8</v>
      </c>
      <c r="C196" s="3" t="s">
        <v>2095</v>
      </c>
      <c r="D196" s="13" t="s">
        <v>160</v>
      </c>
      <c r="E196" s="3" t="s">
        <v>164</v>
      </c>
      <c r="F196" s="3" t="str">
        <f>IF(E196="", "", IF(ISNUMBER(_xlfn.XMATCH(E196, 'Champions Sheet'!H:H)), "Found in Master", "MISSING in Alicia's"))</f>
        <v>MISSING in Alicia's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 t="s">
        <v>128</v>
      </c>
      <c r="B197" s="10">
        <v>3.85235281E8</v>
      </c>
      <c r="C197" s="3" t="s">
        <v>2096</v>
      </c>
      <c r="D197" s="13" t="s">
        <v>261</v>
      </c>
      <c r="E197" s="3" t="s">
        <v>262</v>
      </c>
      <c r="F197" s="3" t="str">
        <f>IF(E197="", "", IF(ISNUMBER(_xlfn.XMATCH(E197, 'Champions Sheet'!H:H)), "Found in Master", "MISSING in Alicia's"))</f>
        <v>MISSING in Alicia's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 t="s">
        <v>844</v>
      </c>
      <c r="B198" s="10">
        <v>3.87718043E8</v>
      </c>
      <c r="C198" s="3" t="s">
        <v>2097</v>
      </c>
      <c r="D198" s="13" t="s">
        <v>839</v>
      </c>
      <c r="E198" s="3" t="s">
        <v>841</v>
      </c>
      <c r="F198" s="3" t="str">
        <f>IF(E198="", "", IF(ISNUMBER(_xlfn.XMATCH(E198, 'Champions Sheet'!H:H)), "Found in Master", "MISSING in Alicia's"))</f>
        <v>MISSING in Alicia's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 t="s">
        <v>1035</v>
      </c>
      <c r="B199" s="10">
        <v>3.92112538E8</v>
      </c>
      <c r="C199" s="3" t="s">
        <v>2098</v>
      </c>
      <c r="D199" s="13" t="s">
        <v>1036</v>
      </c>
      <c r="E199" s="3" t="s">
        <v>1047</v>
      </c>
      <c r="F199" s="3" t="str">
        <f>IF(E199="", "", IF(ISNUMBER(_xlfn.XMATCH(E199, 'Champions Sheet'!H:H)), "Found in Master", "MISSING in Alicia's"))</f>
        <v>MISSING in Alicia's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 t="s">
        <v>585</v>
      </c>
      <c r="B200" s="10">
        <v>3.92709157E8</v>
      </c>
      <c r="C200" s="3" t="s">
        <v>2099</v>
      </c>
      <c r="D200" s="13" t="s">
        <v>586</v>
      </c>
      <c r="E200" s="3" t="s">
        <v>596</v>
      </c>
      <c r="F200" s="3" t="str">
        <f>IF(E200="", "", IF(ISNUMBER(_xlfn.XMATCH(E200, 'Champions Sheet'!H:H)), "Found in Master", "MISSING in Alicia's"))</f>
        <v>MISSING in Alicia's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 t="s">
        <v>845</v>
      </c>
      <c r="B201" s="10">
        <v>3.97613711E8</v>
      </c>
      <c r="C201" s="13" t="s">
        <v>981</v>
      </c>
      <c r="D201" s="13" t="s">
        <v>2101</v>
      </c>
      <c r="E201" s="3" t="s">
        <v>842</v>
      </c>
      <c r="F201" s="3" t="str">
        <f>IF(E201="", "", IF(ISNUMBER(_xlfn.XMATCH(E201, 'Champions Sheet'!H:H)), "Found in Master", "MISSING in Alicia's"))</f>
        <v>Found in Master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 t="s">
        <v>1967</v>
      </c>
      <c r="B202" s="10">
        <v>3.98210303E8</v>
      </c>
      <c r="C202" s="13" t="s">
        <v>1964</v>
      </c>
      <c r="D202" s="13" t="s">
        <v>1965</v>
      </c>
      <c r="E202" s="3" t="s">
        <v>1966</v>
      </c>
      <c r="F202" s="3" t="str">
        <f>IF(E202="", "", IF(ISNUMBER(_xlfn.XMATCH(E202, 'Champions Sheet'!H:H)), "Found in Master", "MISSING in Alicia's"))</f>
        <v>MISSING in Alicia's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 t="s">
        <v>873</v>
      </c>
      <c r="B203" s="10">
        <v>3.99125822E8</v>
      </c>
      <c r="C203" s="13" t="s">
        <v>870</v>
      </c>
      <c r="D203" s="13" t="s">
        <v>871</v>
      </c>
      <c r="E203" s="3" t="s">
        <v>872</v>
      </c>
      <c r="F203" s="3" t="str">
        <f>IF(E203="", "", IF(ISNUMBER(_xlfn.XMATCH(E203, 'Champions Sheet'!H:H)), "Found in Master", "MISSING in Alicia's"))</f>
        <v>MISSING in Alicia's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 t="s">
        <v>1030</v>
      </c>
      <c r="B204" s="10">
        <v>4.01215181E8</v>
      </c>
      <c r="C204" s="13" t="s">
        <v>1021</v>
      </c>
      <c r="D204" s="13" t="s">
        <v>1026</v>
      </c>
      <c r="E204" s="3" t="s">
        <v>1029</v>
      </c>
      <c r="F204" s="3" t="str">
        <f>IF(E204="", "", IF(ISNUMBER(_xlfn.XMATCH(E204, 'Champions Sheet'!H:H)), "Found in Master", "MISSING in Alicia's"))</f>
        <v>Found in Master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 t="s">
        <v>769</v>
      </c>
      <c r="B205" s="10">
        <v>4.0122442E8</v>
      </c>
      <c r="C205" s="13" t="s">
        <v>762</v>
      </c>
      <c r="D205" s="13" t="s">
        <v>765</v>
      </c>
      <c r="E205" s="3" t="s">
        <v>768</v>
      </c>
      <c r="F205" s="3" t="str">
        <f>IF(E205="", "", IF(ISNUMBER(_xlfn.XMATCH(E205, 'Champions Sheet'!H:H)), "Found in Master", "MISSING in Alicia's"))</f>
        <v>Found in Master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 t="s">
        <v>552</v>
      </c>
      <c r="B206" s="10">
        <v>4.03763792E8</v>
      </c>
      <c r="C206" s="3" t="s">
        <v>2102</v>
      </c>
      <c r="D206" s="13" t="s">
        <v>549</v>
      </c>
      <c r="E206" s="3" t="s">
        <v>550</v>
      </c>
      <c r="F206" s="3" t="str">
        <f>IF(E206="", "", IF(ISNUMBER(_xlfn.XMATCH(E206, 'Champions Sheet'!H:H)), "Found in Master", "MISSING in Alicia's"))</f>
        <v>MISSING in Alicia's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 t="s">
        <v>703</v>
      </c>
      <c r="B207" s="10">
        <v>4.05784525E8</v>
      </c>
      <c r="C207" s="13" t="s">
        <v>697</v>
      </c>
      <c r="D207" s="13" t="s">
        <v>700</v>
      </c>
      <c r="E207" s="3" t="s">
        <v>702</v>
      </c>
      <c r="F207" s="3" t="str">
        <f>IF(E207="", "", IF(ISNUMBER(_xlfn.XMATCH(E207, 'Champions Sheet'!H:H)), "Found in Master", "MISSING in Alicia's"))</f>
        <v>Found in Master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 t="s">
        <v>669</v>
      </c>
      <c r="B208" s="10">
        <v>4.09066854E8</v>
      </c>
      <c r="C208" s="3" t="s">
        <v>2103</v>
      </c>
      <c r="D208" s="13" t="s">
        <v>665</v>
      </c>
      <c r="E208" s="3" t="s">
        <v>667</v>
      </c>
      <c r="F208" s="3" t="str">
        <f>IF(E208="", "", IF(ISNUMBER(_xlfn.XMATCH(E208, 'Champions Sheet'!H:H)), "Found in Master", "MISSING in Alicia's"))</f>
        <v>MISSING in Alicia's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 t="s">
        <v>323</v>
      </c>
      <c r="B209" s="10">
        <v>4.10722436E8</v>
      </c>
      <c r="C209" s="3" t="s">
        <v>319</v>
      </c>
      <c r="D209" s="13" t="s">
        <v>321</v>
      </c>
      <c r="E209" s="3" t="s">
        <v>322</v>
      </c>
      <c r="F209" s="3" t="str">
        <f>IF(E209="", "", IF(ISNUMBER(_xlfn.XMATCH(E209, 'Champions Sheet'!H:H)), "Found in Master", "MISSING in Alicia's"))</f>
        <v>MISSING in Alicia's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 t="s">
        <v>720</v>
      </c>
      <c r="B210" s="10">
        <v>4.11349392E8</v>
      </c>
      <c r="C210" s="13" t="s">
        <v>714</v>
      </c>
      <c r="D210" s="13" t="s">
        <v>717</v>
      </c>
      <c r="E210" s="3" t="s">
        <v>719</v>
      </c>
      <c r="F210" s="3" t="str">
        <f>IF(E210="", "", IF(ISNUMBER(_xlfn.XMATCH(E210, 'Champions Sheet'!H:H)), "Found in Master", "MISSING in Alicia's"))</f>
        <v>Found in Master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 t="s">
        <v>894</v>
      </c>
      <c r="B211" s="10">
        <v>4.1330159E8</v>
      </c>
      <c r="C211" s="13" t="s">
        <v>2104</v>
      </c>
      <c r="D211" s="13" t="s">
        <v>2105</v>
      </c>
      <c r="E211" s="3" t="s">
        <v>893</v>
      </c>
      <c r="F211" s="3" t="str">
        <f>IF(E211="", "", IF(ISNUMBER(_xlfn.XMATCH(E211, 'Champions Sheet'!H:H)), "Found in Master", "MISSING in Alicia's"))</f>
        <v>Found in Master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 t="s">
        <v>1920</v>
      </c>
      <c r="B212" s="10">
        <v>4.14170202E8</v>
      </c>
      <c r="C212" s="3" t="s">
        <v>2106</v>
      </c>
      <c r="D212" s="13" t="s">
        <v>1809</v>
      </c>
      <c r="E212" s="3" t="s">
        <v>1919</v>
      </c>
      <c r="F212" s="3" t="str">
        <f>IF(E212="", "", IF(ISNUMBER(_xlfn.XMATCH(E212, 'Champions Sheet'!H:H)), "Found in Master", "MISSING in Alicia's"))</f>
        <v>MISSING in Alicia's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 t="s">
        <v>315</v>
      </c>
      <c r="B213" s="10">
        <v>4.19482352E8</v>
      </c>
      <c r="C213" s="3" t="s">
        <v>2107</v>
      </c>
      <c r="D213" s="13" t="s">
        <v>313</v>
      </c>
      <c r="E213" s="3" t="s">
        <v>314</v>
      </c>
      <c r="F213" s="3" t="str">
        <f>IF(E213="", "", IF(ISNUMBER(_xlfn.XMATCH(E213, 'Champions Sheet'!H:H)), "Found in Master", "MISSING in Alicia's"))</f>
        <v>MISSING in Alicia's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 t="s">
        <v>1129</v>
      </c>
      <c r="B214" s="10">
        <v>4.20247077E8</v>
      </c>
      <c r="C214" s="13" t="s">
        <v>1122</v>
      </c>
      <c r="D214" s="13" t="s">
        <v>1126</v>
      </c>
      <c r="E214" s="3" t="s">
        <v>1128</v>
      </c>
      <c r="F214" s="3" t="str">
        <f>IF(E214="", "", IF(ISNUMBER(_xlfn.XMATCH(E214, 'Champions Sheet'!H:H)), "Found in Master", "MISSING in Alicia's"))</f>
        <v>Found in Master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 t="s">
        <v>249</v>
      </c>
      <c r="B215" s="10">
        <v>4.21255282E8</v>
      </c>
      <c r="C215" s="13" t="s">
        <v>244</v>
      </c>
      <c r="D215" s="13" t="s">
        <v>245</v>
      </c>
      <c r="E215" s="3" t="s">
        <v>247</v>
      </c>
      <c r="F215" s="3" t="str">
        <f>IF(E215="", "", IF(ISNUMBER(_xlfn.XMATCH(E215, 'Champions Sheet'!H:H)), "Found in Master", "MISSING in Alicia's"))</f>
        <v>MISSING in Alicia's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 t="s">
        <v>1441</v>
      </c>
      <c r="B216" s="10">
        <v>4.23413386E8</v>
      </c>
      <c r="C216" s="3" t="s">
        <v>2108</v>
      </c>
      <c r="D216" s="13" t="s">
        <v>1438</v>
      </c>
      <c r="E216" s="3" t="s">
        <v>1440</v>
      </c>
      <c r="F216" s="3" t="str">
        <f>IF(E216="", "", IF(ISNUMBER(_xlfn.XMATCH(E216, 'Champions Sheet'!H:H)), "Found in Master", "MISSING in Alicia's"))</f>
        <v>Found in Master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 t="s">
        <v>857</v>
      </c>
      <c r="B217" s="10">
        <v>4.27846912E8</v>
      </c>
      <c r="C217" s="13" t="s">
        <v>850</v>
      </c>
      <c r="D217" s="13" t="s">
        <v>851</v>
      </c>
      <c r="E217" s="3" t="s">
        <v>854</v>
      </c>
      <c r="F217" s="3" t="str">
        <f>IF(E217="", "", IF(ISNUMBER(_xlfn.XMATCH(E217, 'Champions Sheet'!H:H)), "Found in Master", "MISSING in Alicia's"))</f>
        <v>MISSING in Alicia's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 t="s">
        <v>1045</v>
      </c>
      <c r="B218" s="10">
        <v>4.29234401E8</v>
      </c>
      <c r="C218" s="13" t="s">
        <v>1037</v>
      </c>
      <c r="D218" s="13" t="s">
        <v>1040</v>
      </c>
      <c r="E218" s="3" t="s">
        <v>1043</v>
      </c>
      <c r="F218" s="3" t="str">
        <f>IF(E218="", "", IF(ISNUMBER(_xlfn.XMATCH(E218, 'Champions Sheet'!H:H)), "Found in Master", "MISSING in Alicia's"))</f>
        <v>Found in Master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 t="s">
        <v>213</v>
      </c>
      <c r="B219" s="10">
        <v>4.30184242E8</v>
      </c>
      <c r="C219" s="13" t="s">
        <v>210</v>
      </c>
      <c r="D219" s="13" t="s">
        <v>211</v>
      </c>
      <c r="E219" s="3" t="s">
        <v>212</v>
      </c>
      <c r="F219" s="3" t="str">
        <f>IF(E219="", "", IF(ISNUMBER(_xlfn.XMATCH(E219, 'Champions Sheet'!H:H)), "Found in Master", "MISSING in Alicia's"))</f>
        <v>MISSING in Alicia's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 t="s">
        <v>1797</v>
      </c>
      <c r="B220" s="10">
        <v>4.33289953E8</v>
      </c>
      <c r="C220" s="3" t="s">
        <v>2109</v>
      </c>
      <c r="D220" s="13" t="s">
        <v>1798</v>
      </c>
      <c r="E220" s="3" t="s">
        <v>1803</v>
      </c>
      <c r="F220" s="3" t="str">
        <f>IF(E220="", "", IF(ISNUMBER(_xlfn.XMATCH(E220, 'Champions Sheet'!H:H)), "Found in Master", "MISSING in Alicia's"))</f>
        <v>Found in Master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 t="s">
        <v>695</v>
      </c>
      <c r="B221" s="10">
        <v>4.33406705E8</v>
      </c>
      <c r="C221" s="3" t="s">
        <v>2110</v>
      </c>
      <c r="D221" s="13" t="s">
        <v>693</v>
      </c>
      <c r="E221" s="3" t="s">
        <v>694</v>
      </c>
      <c r="F221" s="3" t="str">
        <f>IF(E221="", "", IF(ISNUMBER(_xlfn.XMATCH(E221, 'Champions Sheet'!H:H)), "Found in Master", "MISSING in Alicia's"))</f>
        <v>MISSING in Alicia's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 t="s">
        <v>654</v>
      </c>
      <c r="B222" s="10">
        <v>4.3341417E8</v>
      </c>
      <c r="C222" s="3" t="s">
        <v>2111</v>
      </c>
      <c r="D222" s="13" t="s">
        <v>651</v>
      </c>
      <c r="E222" s="3" t="s">
        <v>688</v>
      </c>
      <c r="F222" s="3" t="str">
        <f>IF(E222="", "", IF(ISNUMBER(_xlfn.XMATCH(E222, 'Champions Sheet'!H:H)), "Found in Master", "MISSING in Alicia's"))</f>
        <v>MISSING in Alicia's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 t="s">
        <v>687</v>
      </c>
      <c r="B223" s="10">
        <v>4.33415788E8</v>
      </c>
      <c r="C223" s="3" t="s">
        <v>2112</v>
      </c>
      <c r="D223" s="13" t="s">
        <v>684</v>
      </c>
      <c r="E223" s="3" t="s">
        <v>715</v>
      </c>
      <c r="F223" s="3" t="str">
        <f>IF(E223="", "", IF(ISNUMBER(_xlfn.XMATCH(E223, 'Champions Sheet'!H:H)), "Found in Master", "MISSING in Alicia's"))</f>
        <v>MISSING in Alicia's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 t="s">
        <v>626</v>
      </c>
      <c r="B224" s="10">
        <v>4.33418921E8</v>
      </c>
      <c r="C224" s="3" t="s">
        <v>2113</v>
      </c>
      <c r="D224" s="13" t="s">
        <v>623</v>
      </c>
      <c r="E224" s="3" t="s">
        <v>628</v>
      </c>
      <c r="F224" s="3" t="str">
        <f>IF(E224="", "", IF(ISNUMBER(_xlfn.XMATCH(E224, 'Champions Sheet'!H:H)), "Found in Master", "MISSING in Alicia's"))</f>
        <v>MISSING in Alicia's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 t="s">
        <v>594</v>
      </c>
      <c r="B225" s="10">
        <v>4.33419529E8</v>
      </c>
      <c r="C225" s="3" t="s">
        <v>2114</v>
      </c>
      <c r="D225" s="13" t="s">
        <v>591</v>
      </c>
      <c r="E225" s="3" t="s">
        <v>597</v>
      </c>
      <c r="F225" s="3" t="str">
        <f>IF(E225="", "", IF(ISNUMBER(_xlfn.XMATCH(E225, 'Champions Sheet'!H:H)), "Found in Master", "MISSING in Alicia's"))</f>
        <v>MISSING in Alicia's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 t="s">
        <v>752</v>
      </c>
      <c r="B226" s="10">
        <v>4.33428413E8</v>
      </c>
      <c r="C226" s="3" t="s">
        <v>2115</v>
      </c>
      <c r="D226" s="13" t="s">
        <v>749</v>
      </c>
      <c r="E226" s="3" t="s">
        <v>750</v>
      </c>
      <c r="F226" s="3" t="str">
        <f>IF(E226="", "", IF(ISNUMBER(_xlfn.XMATCH(E226, 'Champions Sheet'!H:H)), "Found in Master", "MISSING in Alicia's"))</f>
        <v>MISSING in Alicia's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 t="s">
        <v>581</v>
      </c>
      <c r="B227" s="10">
        <v>4.33432958E8</v>
      </c>
      <c r="C227" s="3" t="s">
        <v>2116</v>
      </c>
      <c r="D227" s="13" t="s">
        <v>577</v>
      </c>
      <c r="E227" s="3" t="s">
        <v>584</v>
      </c>
      <c r="F227" s="3" t="str">
        <f>IF(E227="", "", IF(ISNUMBER(_xlfn.XMATCH(E227, 'Champions Sheet'!H:H)), "Found in Master", "MISSING in Alicia's"))</f>
        <v>MISSING in Alicia's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 t="s">
        <v>571</v>
      </c>
      <c r="B228" s="10">
        <v>4.33433864E8</v>
      </c>
      <c r="C228" s="3" t="s">
        <v>2117</v>
      </c>
      <c r="D228" s="13" t="s">
        <v>568</v>
      </c>
      <c r="E228" s="3" t="s">
        <v>573</v>
      </c>
      <c r="F228" s="3" t="str">
        <f>IF(E228="", "", IF(ISNUMBER(_xlfn.XMATCH(E228, 'Champions Sheet'!H:H)), "Found in Master", "MISSING in Alicia's"))</f>
        <v>MISSING in Alicia's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 t="s">
        <v>2119</v>
      </c>
      <c r="B229" s="10">
        <v>4.33433964E8</v>
      </c>
      <c r="C229" s="3" t="s">
        <v>2120</v>
      </c>
      <c r="D229" s="13" t="s">
        <v>632</v>
      </c>
      <c r="E229" s="3" t="s">
        <v>638</v>
      </c>
      <c r="F229" s="3" t="str">
        <f>IF(E229="", "", IF(ISNUMBER(_xlfn.XMATCH(E229, 'Champions Sheet'!H:H)), "Found in Master", "MISSING in Alicia's"))</f>
        <v>MISSING in Alicia's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 t="s">
        <v>608</v>
      </c>
      <c r="B230" s="10">
        <v>4.33435376E8</v>
      </c>
      <c r="C230" s="3" t="s">
        <v>2121</v>
      </c>
      <c r="D230" s="13" t="s">
        <v>604</v>
      </c>
      <c r="E230" s="3" t="s">
        <v>606</v>
      </c>
      <c r="F230" s="3" t="str">
        <f>IF(E230="", "", IF(ISNUMBER(_xlfn.XMATCH(E230, 'Champions Sheet'!H:H)), "Found in Master", "MISSING in Alicia's"))</f>
        <v>MISSING in Alicia's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 t="s">
        <v>2055</v>
      </c>
      <c r="B231" s="10">
        <v>4.33442042E8</v>
      </c>
      <c r="C231" s="3" t="s">
        <v>2122</v>
      </c>
      <c r="D231" s="13" t="s">
        <v>643</v>
      </c>
      <c r="E231" s="3" t="s">
        <v>650</v>
      </c>
      <c r="F231" s="3" t="str">
        <f>IF(E231="", "", IF(ISNUMBER(_xlfn.XMATCH(E231, 'Champions Sheet'!H:H)), "Found in Master", "MISSING in Alicia's"))</f>
        <v>MISSING in Alicia's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 t="s">
        <v>678</v>
      </c>
      <c r="B232" s="10">
        <v>4.33479223E8</v>
      </c>
      <c r="C232" s="3" t="s">
        <v>2123</v>
      </c>
      <c r="D232" s="13" t="s">
        <v>675</v>
      </c>
      <c r="E232" s="3" t="s">
        <v>704</v>
      </c>
      <c r="F232" s="3" t="str">
        <f>IF(E232="", "", IF(ISNUMBER(_xlfn.XMATCH(E232, 'Champions Sheet'!H:H)), "Found in Master", "MISSING in Alicia's"))</f>
        <v>MISSING in Alicia's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 t="s">
        <v>1939</v>
      </c>
      <c r="B233" s="10">
        <v>4.33902377E8</v>
      </c>
      <c r="C233" s="3" t="s">
        <v>2124</v>
      </c>
      <c r="D233" s="13" t="s">
        <v>1937</v>
      </c>
      <c r="E233" s="3" t="s">
        <v>1938</v>
      </c>
      <c r="F233" s="3" t="str">
        <f>IF(E233="", "", IF(ISNUMBER(_xlfn.XMATCH(E233, 'Champions Sheet'!H:H)), "Found in Master", "MISSING in Alicia's"))</f>
        <v>MISSING in Alicia's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 t="s">
        <v>1984</v>
      </c>
      <c r="B234" s="10">
        <v>4.33980517E8</v>
      </c>
      <c r="C234" s="3" t="s">
        <v>2125</v>
      </c>
      <c r="D234" s="13" t="s">
        <v>557</v>
      </c>
      <c r="E234" s="3" t="s">
        <v>1983</v>
      </c>
      <c r="F234" s="3" t="str">
        <f>IF(E234="", "", IF(ISNUMBER(_xlfn.XMATCH(E234, 'Champions Sheet'!H:H)), "Found in Master", "MISSING in Alicia's"))</f>
        <v>MISSING in Alicia's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 t="s">
        <v>690</v>
      </c>
      <c r="B235" s="10">
        <v>4.37382748E8</v>
      </c>
      <c r="C235" s="3" t="s">
        <v>2126</v>
      </c>
      <c r="D235" s="13" t="s">
        <v>691</v>
      </c>
      <c r="E235" s="3" t="s">
        <v>698</v>
      </c>
      <c r="F235" s="3" t="str">
        <f>IF(E235="", "", IF(ISNUMBER(_xlfn.XMATCH(E235, 'Champions Sheet'!H:H)), "Found in Master", "MISSING in Alicia's"))</f>
        <v>Found in Master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 t="s">
        <v>1481</v>
      </c>
      <c r="B236" s="10">
        <v>4.38530985E8</v>
      </c>
      <c r="C236" s="3" t="s">
        <v>2127</v>
      </c>
      <c r="D236" s="13" t="s">
        <v>1476</v>
      </c>
      <c r="E236" s="3" t="s">
        <v>1478</v>
      </c>
      <c r="F236" s="3" t="str">
        <f>IF(E236="", "", IF(ISNUMBER(_xlfn.XMATCH(E236, 'Champions Sheet'!H:H)), "Found in Master", "MISSING in Alicia's"))</f>
        <v>MISSING in Alicia's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 t="s">
        <v>1369</v>
      </c>
      <c r="B237" s="10">
        <v>4.42592127E8</v>
      </c>
      <c r="C237" s="13" t="s">
        <v>2128</v>
      </c>
      <c r="D237" s="13" t="s">
        <v>1364</v>
      </c>
      <c r="E237" s="3" t="s">
        <v>1367</v>
      </c>
      <c r="F237" s="3" t="str">
        <f>IF(E237="", "", IF(ISNUMBER(_xlfn.XMATCH(E237, 'Champions Sheet'!H:H)), "Found in Master", "MISSING in Alicia's"))</f>
        <v>Found in Master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 t="s">
        <v>1398</v>
      </c>
      <c r="B238" s="10">
        <v>4.48898472E8</v>
      </c>
      <c r="C238" s="3" t="s">
        <v>2129</v>
      </c>
      <c r="D238" s="13" t="s">
        <v>1394</v>
      </c>
      <c r="E238" s="3" t="s">
        <v>1397</v>
      </c>
      <c r="F238" s="3" t="str">
        <f>IF(E238="", "", IF(ISNUMBER(_xlfn.XMATCH(E238, 'Champions Sheet'!H:H)), "Found in Master", "MISSING in Alicia's"))</f>
        <v>Found in Master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 t="s">
        <v>43</v>
      </c>
      <c r="B239" s="10">
        <v>4.50964503E8</v>
      </c>
      <c r="C239" s="3" t="s">
        <v>2130</v>
      </c>
      <c r="D239" s="3" t="s">
        <v>91</v>
      </c>
      <c r="E239" s="3" t="s">
        <v>2131</v>
      </c>
      <c r="F239" s="3" t="str">
        <f>IF(E239="", "", IF(ISNUMBER(_xlfn.XMATCH(E239, 'Champions Sheet'!H:H)), "Found in Master", "MISSING in Alicia's"))</f>
        <v>MISSING in Alicia's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 t="s">
        <v>42</v>
      </c>
      <c r="B240" s="10">
        <v>4.52050501E8</v>
      </c>
      <c r="C240" s="13" t="s">
        <v>33</v>
      </c>
      <c r="D240" s="13" t="s">
        <v>36</v>
      </c>
      <c r="E240" s="3" t="s">
        <v>40</v>
      </c>
      <c r="F240" s="3" t="str">
        <f>IF(E240="", "", IF(ISNUMBER(_xlfn.XMATCH(E240, 'Champions Sheet'!H:H)), "Found in Master", "MISSING in Alicia's"))</f>
        <v>Found in Master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 t="s">
        <v>886</v>
      </c>
      <c r="B241" s="10">
        <v>4.54516858E8</v>
      </c>
      <c r="C241" s="13" t="s">
        <v>879</v>
      </c>
      <c r="D241" s="13" t="s">
        <v>881</v>
      </c>
      <c r="E241" s="3" t="s">
        <v>885</v>
      </c>
      <c r="F241" s="3" t="str">
        <f>IF(E241="", "", IF(ISNUMBER(_xlfn.XMATCH(E241, 'Champions Sheet'!H:H)), "Found in Master", "MISSING in Alicia's"))</f>
        <v>MISSING in Alicia's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 t="s">
        <v>1935</v>
      </c>
      <c r="B242" s="10">
        <v>4.54771591E8</v>
      </c>
      <c r="C242" s="3" t="s">
        <v>2132</v>
      </c>
      <c r="D242" s="13" t="s">
        <v>1933</v>
      </c>
      <c r="E242" s="3" t="s">
        <v>1934</v>
      </c>
      <c r="F242" s="3" t="str">
        <f>IF(E242="", "", IF(ISNUMBER(_xlfn.XMATCH(E242, 'Champions Sheet'!H:H)), "Found in Master", "MISSING in Alicia's"))</f>
        <v>MISSING in Alicia's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 t="s">
        <v>1057</v>
      </c>
      <c r="B243" s="10">
        <v>4.56381518E8</v>
      </c>
      <c r="C243" s="13" t="s">
        <v>1049</v>
      </c>
      <c r="D243" s="13" t="s">
        <v>1050</v>
      </c>
      <c r="E243" s="3" t="s">
        <v>1055</v>
      </c>
      <c r="F243" s="3" t="str">
        <f>IF(E243="", "", IF(ISNUMBER(_xlfn.XMATCH(E243, 'Champions Sheet'!H:H)), "Found in Master", "MISSING in Alicia's"))</f>
        <v>MISSING in Alicia's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 t="s">
        <v>1034</v>
      </c>
      <c r="B244" s="10">
        <v>4.57348846E8</v>
      </c>
      <c r="C244" s="13" t="s">
        <v>1031</v>
      </c>
      <c r="D244" s="13" t="s">
        <v>1032</v>
      </c>
      <c r="E244" s="3" t="s">
        <v>1033</v>
      </c>
      <c r="F244" s="3" t="str">
        <f>IF(E244="", "", IF(ISNUMBER(_xlfn.XMATCH(E244, 'Champions Sheet'!H:H)), "Found in Master", "MISSING in Alicia's"))</f>
        <v>MISSING in Alicia's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 t="s">
        <v>2118</v>
      </c>
      <c r="B245" s="10">
        <v>4.57684582E8</v>
      </c>
      <c r="C245" s="3" t="s">
        <v>2130</v>
      </c>
      <c r="D245" s="3" t="s">
        <v>91</v>
      </c>
      <c r="E245" s="3" t="s">
        <v>2131</v>
      </c>
      <c r="F245" s="3" t="str">
        <f>IF(E245="", "", IF(ISNUMBER(_xlfn.XMATCH(E245, 'Champions Sheet'!H:H)), "Found in Master", "MISSING in Alicia's"))</f>
        <v>MISSING in Alicia's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 t="s">
        <v>2048</v>
      </c>
      <c r="B246" s="10">
        <v>4.57748145E8</v>
      </c>
      <c r="C246" s="3" t="s">
        <v>2130</v>
      </c>
      <c r="D246" s="3" t="s">
        <v>91</v>
      </c>
      <c r="E246" s="3" t="s">
        <v>2131</v>
      </c>
      <c r="F246" s="3" t="str">
        <f>IF(E246="", "", IF(ISNUMBER(_xlfn.XMATCH(E246, 'Champions Sheet'!H:H)), "Found in Master", "MISSING in Alicia's"))</f>
        <v>MISSING in Alicia's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 t="s">
        <v>110</v>
      </c>
      <c r="B247" s="10">
        <v>4.58409674E8</v>
      </c>
      <c r="C247" s="3" t="s">
        <v>2133</v>
      </c>
      <c r="D247" s="13" t="s">
        <v>107</v>
      </c>
      <c r="E247" s="3" t="s">
        <v>109</v>
      </c>
      <c r="F247" s="3" t="str">
        <f>IF(E247="", "", IF(ISNUMBER(_xlfn.XMATCH(E247, 'Champions Sheet'!H:H)), "Found in Master", "MISSING in Alicia's"))</f>
        <v>MISSING in Alicia's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 t="s">
        <v>384</v>
      </c>
      <c r="B248" s="10">
        <v>4.60607943E8</v>
      </c>
      <c r="C248" s="3" t="s">
        <v>384</v>
      </c>
      <c r="D248" s="13" t="s">
        <v>381</v>
      </c>
      <c r="E248" s="3" t="s">
        <v>383</v>
      </c>
      <c r="F248" s="3" t="str">
        <f>IF(E248="", "", IF(ISNUMBER(_xlfn.XMATCH(E248, 'Champions Sheet'!H:H)), "Found in Master", "MISSING in Alicia's"))</f>
        <v>MISSING in Alicia's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 t="s">
        <v>1790</v>
      </c>
      <c r="B249" s="10">
        <v>4.61167456E8</v>
      </c>
      <c r="C249" s="13" t="s">
        <v>1786</v>
      </c>
      <c r="D249" s="13" t="s">
        <v>2100</v>
      </c>
      <c r="E249" s="3" t="s">
        <v>1789</v>
      </c>
      <c r="F249" s="3" t="str">
        <f>IF(E249="", "", IF(ISNUMBER(_xlfn.XMATCH(E249, 'Champions Sheet'!H:H)), "Found in Master", "MISSING in Alicia's"))</f>
        <v>Found in Master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 t="s">
        <v>1486</v>
      </c>
      <c r="B250" s="10">
        <v>4.67464198E8</v>
      </c>
      <c r="C250" s="3" t="s">
        <v>2134</v>
      </c>
      <c r="D250" s="13" t="s">
        <v>1483</v>
      </c>
      <c r="E250" s="3" t="s">
        <v>1485</v>
      </c>
      <c r="F250" s="3" t="str">
        <f>IF(E250="", "", IF(ISNUMBER(_xlfn.XMATCH(E250, 'Champions Sheet'!H:H)), "Found in Master", "MISSING in Alicia's"))</f>
        <v>MISSING in Alicia's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 t="s">
        <v>1951</v>
      </c>
      <c r="B251" s="10">
        <v>4.6824426E8</v>
      </c>
      <c r="C251" s="3" t="s">
        <v>2135</v>
      </c>
      <c r="D251" s="13" t="s">
        <v>1949</v>
      </c>
      <c r="E251" s="3" t="s">
        <v>1950</v>
      </c>
      <c r="F251" s="3" t="str">
        <f>IF(E251="", "", IF(ISNUMBER(_xlfn.XMATCH(E251, 'Champions Sheet'!H:H)), "Found in Master", "MISSING in Alicia's"))</f>
        <v>MISSING in Alicia's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 t="s">
        <v>1714</v>
      </c>
      <c r="B252" s="10">
        <v>4.68255943E8</v>
      </c>
      <c r="C252" s="3" t="s">
        <v>2136</v>
      </c>
      <c r="D252" s="13" t="s">
        <v>1712</v>
      </c>
      <c r="E252" s="3" t="s">
        <v>1713</v>
      </c>
      <c r="F252" s="3" t="str">
        <f>IF(E252="", "", IF(ISNUMBER(_xlfn.XMATCH(E252, 'Champions Sheet'!H:H)), "Found in Master", "MISSING in Alicia's"))</f>
        <v>MISSING in Alicia's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 t="s">
        <v>1927</v>
      </c>
      <c r="B253" s="10">
        <v>4.70607443E8</v>
      </c>
      <c r="C253" s="3" t="s">
        <v>2137</v>
      </c>
      <c r="D253" s="13" t="s">
        <v>1925</v>
      </c>
      <c r="E253" s="3" t="s">
        <v>1926</v>
      </c>
      <c r="F253" s="3" t="str">
        <f>IF(E253="", "", IF(ISNUMBER(_xlfn.XMATCH(E253, 'Champions Sheet'!H:H)), "Found in Master", "MISSING in Alicia's"))</f>
        <v>MISSING in Alicia's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 t="s">
        <v>1904</v>
      </c>
      <c r="B254" s="10">
        <v>4.70822393E8</v>
      </c>
      <c r="C254" s="13" t="s">
        <v>1901</v>
      </c>
      <c r="D254" s="13" t="s">
        <v>1902</v>
      </c>
      <c r="E254" s="3" t="s">
        <v>1903</v>
      </c>
      <c r="F254" s="3" t="str">
        <f>IF(E254="", "", IF(ISNUMBER(_xlfn.XMATCH(E254, 'Champions Sheet'!H:H)), "Found in Master", "MISSING in Alicia's"))</f>
        <v>MISSING in Alicia's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 t="s">
        <v>1910</v>
      </c>
      <c r="B255" s="10">
        <v>4.72668132E8</v>
      </c>
      <c r="C255" s="3" t="s">
        <v>2138</v>
      </c>
      <c r="D255" s="13" t="s">
        <v>1908</v>
      </c>
      <c r="E255" s="3" t="s">
        <v>1909</v>
      </c>
      <c r="F255" s="3" t="str">
        <f>IF(E255="", "", IF(ISNUMBER(_xlfn.XMATCH(E255, 'Champions Sheet'!H:H)), "Found in Master", "MISSING in Alicia's"))</f>
        <v>MISSING in Alicia's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 t="s">
        <v>725</v>
      </c>
      <c r="B256" s="10">
        <v>4.73097624E8</v>
      </c>
      <c r="C256" s="3" t="s">
        <v>2140</v>
      </c>
      <c r="D256" s="13" t="s">
        <v>722</v>
      </c>
      <c r="E256" s="3" t="s">
        <v>724</v>
      </c>
      <c r="F256" s="3" t="str">
        <f>IF(E256="", "", IF(ISNUMBER(_xlfn.XMATCH(E256, 'Champions Sheet'!H:H)), "Found in Master", "MISSING in Alicia's"))</f>
        <v>MISSING in Alicia's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 t="s">
        <v>545</v>
      </c>
      <c r="B257" s="10">
        <v>4.75128268E8</v>
      </c>
      <c r="C257" s="3" t="s">
        <v>2141</v>
      </c>
      <c r="D257" s="13" t="s">
        <v>540</v>
      </c>
      <c r="E257" s="3" t="s">
        <v>543</v>
      </c>
      <c r="F257" s="3" t="str">
        <f>IF(E257="", "", IF(ISNUMBER(_xlfn.XMATCH(E257, 'Champions Sheet'!H:H)), "Found in Master", "MISSING in Alicia's"))</f>
        <v>Found in Master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 t="s">
        <v>971</v>
      </c>
      <c r="B258" s="10">
        <v>4.75720574E8</v>
      </c>
      <c r="C258" s="13" t="s">
        <v>963</v>
      </c>
      <c r="D258" s="13" t="s">
        <v>2139</v>
      </c>
      <c r="E258" s="3" t="s">
        <v>969</v>
      </c>
      <c r="F258" s="3" t="str">
        <f>IF(E258="", "", IF(ISNUMBER(_xlfn.XMATCH(E258, 'Champions Sheet'!H:H)), "Found in Master", "MISSING in Alicia's"))</f>
        <v>Found in Master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 t="s">
        <v>1899</v>
      </c>
      <c r="B259" s="10">
        <v>4.79164318E8</v>
      </c>
      <c r="C259" s="3" t="s">
        <v>2142</v>
      </c>
      <c r="D259" s="13" t="s">
        <v>1897</v>
      </c>
      <c r="E259" s="3" t="s">
        <v>1898</v>
      </c>
      <c r="F259" s="3" t="str">
        <f>IF(E259="", "", IF(ISNUMBER(_xlfn.XMATCH(E259, 'Champions Sheet'!H:H)), "Found in Master", "MISSING in Alicia's"))</f>
        <v>MISSING in Alicia's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 t="s">
        <v>1321</v>
      </c>
      <c r="B260" s="10">
        <v>4.81891958E8</v>
      </c>
      <c r="C260" s="3" t="s">
        <v>2143</v>
      </c>
      <c r="D260" s="13" t="s">
        <v>1317</v>
      </c>
      <c r="E260" s="3" t="s">
        <v>1320</v>
      </c>
      <c r="F260" s="3" t="str">
        <f>IF(E260="", "", IF(ISNUMBER(_xlfn.XMATCH(E260, 'Champions Sheet'!H:H)), "Found in Master", "MISSING in Alicia's"))</f>
        <v>Found in Master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 t="s">
        <v>282</v>
      </c>
      <c r="B261" s="10">
        <v>4.82151148E8</v>
      </c>
      <c r="C261" s="3" t="s">
        <v>2130</v>
      </c>
      <c r="D261" s="3" t="s">
        <v>91</v>
      </c>
      <c r="E261" s="3" t="s">
        <v>2131</v>
      </c>
      <c r="F261" s="3" t="str">
        <f>IF(E261="", "", IF(ISNUMBER(_xlfn.XMATCH(E261, 'Champions Sheet'!H:H)), "Found in Master", "MISSING in Alicia's"))</f>
        <v>MISSING in Alicia's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 t="s">
        <v>179</v>
      </c>
      <c r="B262" s="10">
        <v>4.82352716E8</v>
      </c>
      <c r="C262" s="3" t="s">
        <v>2130</v>
      </c>
      <c r="D262" s="3" t="s">
        <v>91</v>
      </c>
      <c r="E262" s="3" t="s">
        <v>2131</v>
      </c>
      <c r="F262" s="3" t="str">
        <f>IF(E262="", "", IF(ISNUMBER(_xlfn.XMATCH(E262, 'Champions Sheet'!H:H)), "Found in Master", "MISSING in Alicia's"))</f>
        <v>MISSING in Alicia's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 t="s">
        <v>462</v>
      </c>
      <c r="B263" s="10">
        <v>4.83012671E8</v>
      </c>
      <c r="C263" s="3" t="s">
        <v>2130</v>
      </c>
      <c r="D263" s="3" t="s">
        <v>91</v>
      </c>
      <c r="E263" s="3" t="s">
        <v>2131</v>
      </c>
      <c r="F263" s="3" t="str">
        <f>IF(E263="", "", IF(ISNUMBER(_xlfn.XMATCH(E263, 'Champions Sheet'!H:H)), "Found in Master", "MISSING in Alicia's"))</f>
        <v>MISSING in Alicia's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 t="s">
        <v>408</v>
      </c>
      <c r="B264" s="10">
        <v>4.83039742E8</v>
      </c>
      <c r="C264" s="3" t="s">
        <v>2130</v>
      </c>
      <c r="D264" s="3" t="s">
        <v>91</v>
      </c>
      <c r="E264" s="3" t="s">
        <v>2131</v>
      </c>
      <c r="F264" s="3" t="str">
        <f>IF(E264="", "", IF(ISNUMBER(_xlfn.XMATCH(E264, 'Champions Sheet'!H:H)), "Found in Master", "MISSING in Alicia's"))</f>
        <v>MISSING in Alicia's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 t="s">
        <v>761</v>
      </c>
      <c r="B265" s="10">
        <v>4.83367298E8</v>
      </c>
      <c r="C265" s="13" t="s">
        <v>2144</v>
      </c>
      <c r="D265" s="13" t="s">
        <v>759</v>
      </c>
      <c r="E265" s="3" t="s">
        <v>760</v>
      </c>
      <c r="F265" s="3" t="str">
        <f>IF(E265="", "", IF(ISNUMBER(_xlfn.XMATCH(E265, 'Champions Sheet'!H:H)), "Found in Master", "MISSING in Alicia's"))</f>
        <v>MISSING in Alicia's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 t="s">
        <v>1776</v>
      </c>
      <c r="B266" s="10">
        <v>4.83439432E8</v>
      </c>
      <c r="C266" s="3" t="s">
        <v>2145</v>
      </c>
      <c r="D266" s="13" t="s">
        <v>1777</v>
      </c>
      <c r="E266" s="3" t="s">
        <v>1782</v>
      </c>
      <c r="F266" s="3" t="str">
        <f>IF(E266="", "", IF(ISNUMBER(_xlfn.XMATCH(E266, 'Champions Sheet'!H:H)), "Found in Master", "MISSING in Alicia's"))</f>
        <v>MISSING in Alicia's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 t="s">
        <v>1889</v>
      </c>
      <c r="B267" s="10">
        <v>4.86465672E8</v>
      </c>
      <c r="C267" s="3" t="s">
        <v>2146</v>
      </c>
      <c r="D267" s="13" t="s">
        <v>1887</v>
      </c>
      <c r="E267" s="3" t="s">
        <v>1888</v>
      </c>
      <c r="F267" s="3" t="str">
        <f>IF(E267="", "", IF(ISNUMBER(_xlfn.XMATCH(E267, 'Champions Sheet'!H:H)), "Found in Master", "MISSING in Alicia's"))</f>
        <v>MISSING in Alicia's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 t="s">
        <v>61</v>
      </c>
      <c r="B268" s="10">
        <v>4.87084052E8</v>
      </c>
      <c r="C268" s="3" t="s">
        <v>2130</v>
      </c>
      <c r="D268" s="3" t="s">
        <v>91</v>
      </c>
      <c r="E268" s="3" t="s">
        <v>2131</v>
      </c>
      <c r="F268" s="3" t="str">
        <f>IF(E268="", "", IF(ISNUMBER(_xlfn.XMATCH(E268, 'Champions Sheet'!H:H)), "Found in Master", "MISSING in Alicia's"))</f>
        <v>MISSING in Alicia's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 t="s">
        <v>1027</v>
      </c>
      <c r="B269" s="10">
        <v>4.87354183E8</v>
      </c>
      <c r="C269" s="13" t="s">
        <v>1023</v>
      </c>
      <c r="D269" s="13" t="s">
        <v>1024</v>
      </c>
      <c r="E269" s="3" t="s">
        <v>1025</v>
      </c>
      <c r="F269" s="3" t="str">
        <f>IF(E269="", "", IF(ISNUMBER(_xlfn.XMATCH(E269, 'Champions Sheet'!H:H)), "Found in Master", "MISSING in Alicia's"))</f>
        <v>MISSING in Alicia's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 t="s">
        <v>1305</v>
      </c>
      <c r="B270" s="10">
        <v>4.87576261E8</v>
      </c>
      <c r="C270" s="3" t="s">
        <v>2147</v>
      </c>
      <c r="D270" s="13" t="s">
        <v>1300</v>
      </c>
      <c r="E270" s="3" t="s">
        <v>1303</v>
      </c>
      <c r="F270" s="3" t="str">
        <f>IF(E270="", "", IF(ISNUMBER(_xlfn.XMATCH(E270, 'Champions Sheet'!H:H)), "Found in Master", "MISSING in Alicia's"))</f>
        <v>Found in Master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 t="s">
        <v>333</v>
      </c>
      <c r="B271" s="10">
        <v>4.87657823E8</v>
      </c>
      <c r="C271" s="3" t="s">
        <v>2130</v>
      </c>
      <c r="D271" s="3" t="s">
        <v>91</v>
      </c>
      <c r="E271" s="3" t="s">
        <v>2131</v>
      </c>
      <c r="F271" s="3" t="str">
        <f>IF(E271="", "", IF(ISNUMBER(_xlfn.XMATCH(E271, 'Champions Sheet'!H:H)), "Found in Master", "MISSING in Alicia's"))</f>
        <v>MISSING in Alicia's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 t="s">
        <v>389</v>
      </c>
      <c r="B272" s="10">
        <v>4.88016149E8</v>
      </c>
      <c r="C272" s="13" t="s">
        <v>2148</v>
      </c>
      <c r="D272" s="13" t="s">
        <v>386</v>
      </c>
      <c r="E272" s="3" t="s">
        <v>388</v>
      </c>
      <c r="F272" s="3" t="str">
        <f>IF(E272="", "", IF(ISNUMBER(_xlfn.XMATCH(E272, 'Champions Sheet'!H:H)), "Found in Master", "MISSING in Alicia's"))</f>
        <v>MISSING in Alicia's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 t="s">
        <v>1490</v>
      </c>
      <c r="B273" s="10">
        <v>4.88553036E8</v>
      </c>
      <c r="C273" s="3" t="s">
        <v>2149</v>
      </c>
      <c r="D273" s="13" t="s">
        <v>1488</v>
      </c>
      <c r="E273" s="3" t="s">
        <v>1489</v>
      </c>
      <c r="F273" s="3" t="str">
        <f>IF(E273="", "", IF(ISNUMBER(_xlfn.XMATCH(E273, 'Champions Sheet'!H:H)), "Found in Master", "MISSING in Alicia's"))</f>
        <v>MISSING in Alicia's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 t="s">
        <v>25</v>
      </c>
      <c r="B274" s="10">
        <v>4.88601532E8</v>
      </c>
      <c r="C274" s="3" t="s">
        <v>2130</v>
      </c>
      <c r="D274" s="3" t="s">
        <v>91</v>
      </c>
      <c r="E274" s="3" t="s">
        <v>2131</v>
      </c>
      <c r="F274" s="3" t="str">
        <f>IF(E274="", "", IF(ISNUMBER(_xlfn.XMATCH(E274, 'Champions Sheet'!H:H)), "Found in Master", "MISSING in Alicia's"))</f>
        <v>MISSING in Alicia's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 t="s">
        <v>1917</v>
      </c>
      <c r="B275" s="10">
        <v>4.92319573E8</v>
      </c>
      <c r="C275" s="3" t="s">
        <v>2150</v>
      </c>
      <c r="D275" s="13" t="s">
        <v>1914</v>
      </c>
      <c r="E275" s="3" t="s">
        <v>1915</v>
      </c>
      <c r="F275" s="3" t="str">
        <f>IF(E275="", "", IF(ISNUMBER(_xlfn.XMATCH(E275, 'Champions Sheet'!H:H)), "Found in Master", "MISSING in Alicia's"))</f>
        <v>MISSING in Alicia's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 t="s">
        <v>1830</v>
      </c>
      <c r="B276" s="10">
        <v>4.93259042E8</v>
      </c>
      <c r="C276" s="13" t="s">
        <v>1826</v>
      </c>
      <c r="D276" s="13" t="s">
        <v>1828</v>
      </c>
      <c r="E276" s="3" t="s">
        <v>1829</v>
      </c>
      <c r="F276" s="3" t="str">
        <f>IF(E276="", "", IF(ISNUMBER(_xlfn.XMATCH(E276, 'Champions Sheet'!H:H)), "Found in Master", "MISSING in Alicia's"))</f>
        <v>Found in Master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 t="s">
        <v>1971</v>
      </c>
      <c r="B277" s="10">
        <v>4.95354057E8</v>
      </c>
      <c r="C277" s="13" t="s">
        <v>1968</v>
      </c>
      <c r="D277" s="13" t="s">
        <v>1969</v>
      </c>
      <c r="E277" s="3" t="s">
        <v>1970</v>
      </c>
      <c r="F277" s="3" t="str">
        <f>IF(E277="", "", IF(ISNUMBER(_xlfn.XMATCH(E277, 'Champions Sheet'!H:H)), "Found in Master", "MISSING in Alicia's"))</f>
        <v>MISSING in Alicia's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 t="s">
        <v>1702</v>
      </c>
      <c r="B278" s="10">
        <v>4.96250154E8</v>
      </c>
      <c r="C278" s="3" t="s">
        <v>1702</v>
      </c>
      <c r="D278" s="13" t="s">
        <v>1767</v>
      </c>
      <c r="E278" s="3" t="s">
        <v>1701</v>
      </c>
      <c r="F278" s="3" t="str">
        <f>IF(E278="", "", IF(ISNUMBER(_xlfn.XMATCH(E278, 'Champions Sheet'!H:H)), "Found in Master", "MISSING in Alicia's"))</f>
        <v>Found in Master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 t="s">
        <v>1982</v>
      </c>
      <c r="B279" s="10">
        <v>4.9668719E8</v>
      </c>
      <c r="C279" s="3" t="s">
        <v>2151</v>
      </c>
      <c r="D279" s="13" t="s">
        <v>1980</v>
      </c>
      <c r="E279" s="3" t="s">
        <v>1981</v>
      </c>
      <c r="F279" s="3" t="str">
        <f>IF(E279="", "", IF(ISNUMBER(_xlfn.XMATCH(E279, 'Champions Sheet'!H:H)), "Found in Master", "MISSING in Alicia's"))</f>
        <v>MISSING in Alicia's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 t="s">
        <v>1605</v>
      </c>
      <c r="B280" s="10">
        <v>5.02641048E8</v>
      </c>
      <c r="C280" s="3" t="s">
        <v>2152</v>
      </c>
      <c r="D280" s="13" t="s">
        <v>1603</v>
      </c>
      <c r="E280" s="3" t="s">
        <v>1604</v>
      </c>
      <c r="F280" s="3" t="str">
        <f>IF(E280="", "", IF(ISNUMBER(_xlfn.XMATCH(E280, 'Champions Sheet'!H:H)), "Found in Master", "MISSING in Alicia's"))</f>
        <v>MISSING in Alicia's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 t="s">
        <v>1283</v>
      </c>
      <c r="B281" s="10">
        <v>5.05379644E8</v>
      </c>
      <c r="C281" s="3" t="s">
        <v>2153</v>
      </c>
      <c r="D281" s="13" t="s">
        <v>1278</v>
      </c>
      <c r="E281" s="3" t="s">
        <v>1281</v>
      </c>
      <c r="F281" s="3" t="str">
        <f>IF(E281="", "", IF(ISNUMBER(_xlfn.XMATCH(E281, 'Champions Sheet'!H:H)), "Found in Master", "MISSING in Alicia's"))</f>
        <v>Found in Master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 t="s">
        <v>1348</v>
      </c>
      <c r="B282" s="10">
        <v>5.12063137E8</v>
      </c>
      <c r="C282" s="3" t="s">
        <v>2154</v>
      </c>
      <c r="D282" s="13" t="s">
        <v>1358</v>
      </c>
      <c r="E282" s="3" t="s">
        <v>1346</v>
      </c>
      <c r="F282" s="3" t="str">
        <f>IF(E282="", "", IF(ISNUMBER(_xlfn.XMATCH(E282, 'Champions Sheet'!H:H)), "Found in Master", "MISSING in Alicia's"))</f>
        <v>Found in Master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 t="s">
        <v>1119</v>
      </c>
      <c r="B283" s="10">
        <v>5.12124674E8</v>
      </c>
      <c r="C283" s="13" t="s">
        <v>1115</v>
      </c>
      <c r="D283" s="13" t="s">
        <v>1116</v>
      </c>
      <c r="E283" s="3" t="s">
        <v>1117</v>
      </c>
      <c r="F283" s="3" t="str">
        <f>IF(E283="", "", IF(ISNUMBER(_xlfn.XMATCH(E283, 'Champions Sheet'!H:H)), "Found in Master", "MISSING in Alicia's"))</f>
        <v>MISSING in Alicia's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 t="s">
        <v>1978</v>
      </c>
      <c r="B284" s="10">
        <v>5.12990597E8</v>
      </c>
      <c r="C284" s="3" t="s">
        <v>2155</v>
      </c>
      <c r="D284" s="13" t="s">
        <v>1976</v>
      </c>
      <c r="E284" s="3" t="s">
        <v>1977</v>
      </c>
      <c r="F284" s="3" t="str">
        <f>IF(E284="", "", IF(ISNUMBER(_xlfn.XMATCH(E284, 'Champions Sheet'!H:H)), "Found in Master", "MISSING in Alicia's"))</f>
        <v>MISSING in Alicia's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 t="s">
        <v>1147</v>
      </c>
      <c r="B285" s="10">
        <v>5.14244246E8</v>
      </c>
      <c r="C285" s="3" t="s">
        <v>2156</v>
      </c>
      <c r="D285" s="13" t="s">
        <v>1145</v>
      </c>
      <c r="E285" s="3" t="s">
        <v>1146</v>
      </c>
      <c r="F285" s="3" t="str">
        <f>IF(E285="", "", IF(ISNUMBER(_xlfn.XMATCH(E285, 'Champions Sheet'!H:H)), "Found in Master", "MISSING in Alicia's"))</f>
        <v>MISSING in Alicia's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 t="s">
        <v>862</v>
      </c>
      <c r="B286" s="10">
        <v>5.1424571E8</v>
      </c>
      <c r="C286" s="13" t="s">
        <v>2157</v>
      </c>
      <c r="D286" s="13" t="s">
        <v>859</v>
      </c>
      <c r="E286" s="3" t="s">
        <v>860</v>
      </c>
      <c r="F286" s="3" t="str">
        <f>IF(E286="", "", IF(ISNUMBER(_xlfn.XMATCH(E286, 'Champions Sheet'!H:H)), "Found in Master", "MISSING in Alicia's"))</f>
        <v>MISSING in Alicia's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 t="s">
        <v>1104</v>
      </c>
      <c r="B287" s="10">
        <v>5.14261181E8</v>
      </c>
      <c r="C287" s="3" t="s">
        <v>2158</v>
      </c>
      <c r="D287" s="13" t="s">
        <v>1102</v>
      </c>
      <c r="E287" s="3" t="s">
        <v>1103</v>
      </c>
      <c r="F287" s="3" t="str">
        <f>IF(E287="", "", IF(ISNUMBER(_xlfn.XMATCH(E287, 'Champions Sheet'!H:H)), "Found in Master", "MISSING in Alicia's"))</f>
        <v>MISSING in Alicia's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 t="s">
        <v>1282</v>
      </c>
      <c r="B288" s="10">
        <v>5.14859284E8</v>
      </c>
      <c r="C288" s="3" t="s">
        <v>2159</v>
      </c>
      <c r="D288" s="13" t="s">
        <v>1277</v>
      </c>
      <c r="E288" s="3" t="s">
        <v>1279</v>
      </c>
      <c r="F288" s="3" t="str">
        <f>IF(E288="", "", IF(ISNUMBER(_xlfn.XMATCH(E288, 'Champions Sheet'!H:H)), "Found in Master", "MISSING in Alicia's"))</f>
        <v>MISSING in Alicia's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 t="s">
        <v>1079</v>
      </c>
      <c r="B289" s="10">
        <v>5.15279611E8</v>
      </c>
      <c r="C289" s="3" t="s">
        <v>2160</v>
      </c>
      <c r="D289" s="13" t="s">
        <v>1077</v>
      </c>
      <c r="E289" s="3" t="s">
        <v>1078</v>
      </c>
      <c r="F289" s="3" t="str">
        <f>IF(E289="", "", IF(ISNUMBER(_xlfn.XMATCH(E289, 'Champions Sheet'!H:H)), "Found in Master", "MISSING in Alicia's"))</f>
        <v>MISSING in Alicia's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 t="s">
        <v>734</v>
      </c>
      <c r="B290" s="10">
        <v>5.35223034E8</v>
      </c>
      <c r="C290" s="3" t="s">
        <v>2161</v>
      </c>
      <c r="D290" s="13" t="s">
        <v>730</v>
      </c>
      <c r="E290" s="3" t="s">
        <v>733</v>
      </c>
      <c r="F290" s="3" t="str">
        <f>IF(E290="", "", IF(ISNUMBER(_xlfn.XMATCH(E290, 'Champions Sheet'!H:H)), "Found in Master", "MISSING in Alicia's"))</f>
        <v>MISSING in Alicia's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 t="s">
        <v>394</v>
      </c>
      <c r="B291" s="10">
        <v>5.40064359E8</v>
      </c>
      <c r="C291" s="3" t="s">
        <v>2162</v>
      </c>
      <c r="D291" s="13" t="s">
        <v>392</v>
      </c>
      <c r="E291" s="3" t="s">
        <v>393</v>
      </c>
      <c r="F291" s="3" t="str">
        <f>IF(E291="", "", IF(ISNUMBER(_xlfn.XMATCH(E291, 'Champions Sheet'!H:H)), "Found in Master", "MISSING in Alicia's"))</f>
        <v>MISSING in Alicia's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 t="s">
        <v>1414</v>
      </c>
      <c r="B292" s="10">
        <v>5.45040143E8</v>
      </c>
      <c r="C292" s="3" t="s">
        <v>2163</v>
      </c>
      <c r="D292" s="13" t="s">
        <v>2164</v>
      </c>
      <c r="E292" s="3" t="s">
        <v>1413</v>
      </c>
      <c r="F292" s="3" t="str">
        <f>IF(E292="", "", IF(ISNUMBER(_xlfn.XMATCH(E292, 'Champions Sheet'!H:H)), "Found in Master", "MISSING in Alicia's"))</f>
        <v>Found in Master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 t="s">
        <v>1330</v>
      </c>
      <c r="B293" s="10">
        <v>5.45102621E8</v>
      </c>
      <c r="C293" s="3" t="s">
        <v>2165</v>
      </c>
      <c r="D293" s="13" t="s">
        <v>1326</v>
      </c>
      <c r="E293" s="3" t="s">
        <v>1328</v>
      </c>
      <c r="F293" s="3" t="str">
        <f>IF(E293="", "", IF(ISNUMBER(_xlfn.XMATCH(E293, 'Champions Sheet'!H:H)), "Found in Master", "MISSING in Alicia's"))</f>
        <v>Found in Master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 t="s">
        <v>1688</v>
      </c>
      <c r="B294" s="10">
        <v>5.48251318E8</v>
      </c>
      <c r="C294" s="3" t="s">
        <v>2166</v>
      </c>
      <c r="D294" s="13" t="s">
        <v>1686</v>
      </c>
      <c r="E294" s="3" t="s">
        <v>1687</v>
      </c>
      <c r="F294" s="3" t="str">
        <f>IF(E294="", "", IF(ISNUMBER(_xlfn.XMATCH(E294, 'Champions Sheet'!H:H)), "Found in Master", "MISSING in Alicia's"))</f>
        <v>MISSING in Alicia's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 t="s">
        <v>1333</v>
      </c>
      <c r="B295" s="10">
        <v>5.48874569E8</v>
      </c>
      <c r="C295" s="3" t="s">
        <v>1333</v>
      </c>
      <c r="D295" s="13" t="s">
        <v>1331</v>
      </c>
      <c r="E295" s="3" t="s">
        <v>1332</v>
      </c>
      <c r="F295" s="3" t="str">
        <f>IF(E295="", "", IF(ISNUMBER(_xlfn.XMATCH(E295, 'Champions Sheet'!H:H)), "Found in Master", "MISSING in Alicia's"))</f>
        <v>MISSING in Alicia's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 t="s">
        <v>1682</v>
      </c>
      <c r="B296" s="10">
        <v>5.49457251E8</v>
      </c>
      <c r="C296" s="3" t="s">
        <v>2167</v>
      </c>
      <c r="D296" s="13" t="s">
        <v>1680</v>
      </c>
      <c r="E296" s="3" t="s">
        <v>1681</v>
      </c>
      <c r="F296" s="3" t="str">
        <f>IF(E296="", "", IF(ISNUMBER(_xlfn.XMATCH(E296, 'Champions Sheet'!H:H)), "Found in Master", "MISSING in Alicia's"))</f>
        <v>MISSING in Alicia's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296">
    <sortState ref="A1:Z296">
      <sortCondition ref="B1:B296"/>
      <sortCondition ref="A1:A296"/>
    </sortState>
  </autoFilter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C29"/>
    <hyperlink r:id="rId29" ref="D29"/>
    <hyperlink r:id="rId30" ref="D30"/>
    <hyperlink r:id="rId31" ref="D31"/>
    <hyperlink r:id="rId32" ref="D32"/>
    <hyperlink r:id="rId33" ref="D33"/>
    <hyperlink r:id="rId34" ref="D34"/>
    <hyperlink r:id="rId35" ref="C35"/>
    <hyperlink r:id="rId36" ref="D35"/>
    <hyperlink r:id="rId37" ref="C36"/>
    <hyperlink r:id="rId38" ref="D36"/>
    <hyperlink r:id="rId39" ref="C37"/>
    <hyperlink r:id="rId40" ref="D37"/>
    <hyperlink r:id="rId41" ref="D38"/>
    <hyperlink r:id="rId42" ref="D39"/>
    <hyperlink r:id="rId43" ref="D40"/>
    <hyperlink r:id="rId44" ref="C41"/>
    <hyperlink r:id="rId45" ref="D41"/>
    <hyperlink r:id="rId46" ref="C42"/>
    <hyperlink r:id="rId47" ref="D42"/>
    <hyperlink r:id="rId48" ref="D43"/>
    <hyperlink r:id="rId49" ref="C44"/>
    <hyperlink r:id="rId50" ref="D44"/>
    <hyperlink r:id="rId51" ref="D45"/>
    <hyperlink r:id="rId52" ref="D46"/>
    <hyperlink r:id="rId53" ref="D47"/>
    <hyperlink r:id="rId54" ref="D48"/>
    <hyperlink r:id="rId55" ref="D49"/>
    <hyperlink r:id="rId56" ref="D50"/>
    <hyperlink r:id="rId57" ref="C51"/>
    <hyperlink r:id="rId58" ref="D51"/>
    <hyperlink r:id="rId59" ref="D52"/>
    <hyperlink r:id="rId60" ref="D53"/>
    <hyperlink r:id="rId61" ref="D54"/>
    <hyperlink r:id="rId62" ref="D55"/>
    <hyperlink r:id="rId63" ref="D56"/>
    <hyperlink r:id="rId64" ref="D57"/>
    <hyperlink r:id="rId65" ref="D58"/>
    <hyperlink r:id="rId66" ref="D59"/>
    <hyperlink r:id="rId67" ref="D60"/>
    <hyperlink r:id="rId68" ref="D61"/>
    <hyperlink r:id="rId69" ref="D62"/>
    <hyperlink r:id="rId70" ref="D63"/>
    <hyperlink r:id="rId71" ref="C64"/>
    <hyperlink r:id="rId72" ref="D64"/>
    <hyperlink r:id="rId73" ref="D65"/>
    <hyperlink r:id="rId74" ref="D66"/>
    <hyperlink r:id="rId75" ref="C67"/>
    <hyperlink r:id="rId76" ref="D67"/>
    <hyperlink r:id="rId77" ref="D68"/>
    <hyperlink r:id="rId78" ref="D69"/>
    <hyperlink r:id="rId79" ref="D70"/>
    <hyperlink r:id="rId80" ref="D71"/>
    <hyperlink r:id="rId81" ref="D72"/>
    <hyperlink r:id="rId82" ref="D73"/>
    <hyperlink r:id="rId83" ref="D74"/>
    <hyperlink r:id="rId84" ref="D75"/>
    <hyperlink r:id="rId85" ref="C76"/>
    <hyperlink r:id="rId86" ref="D76"/>
    <hyperlink r:id="rId87" ref="D77"/>
    <hyperlink r:id="rId88" ref="D78"/>
    <hyperlink r:id="rId89" ref="D79"/>
    <hyperlink r:id="rId90" ref="C80"/>
    <hyperlink r:id="rId91" ref="D80"/>
    <hyperlink r:id="rId92" ref="D81"/>
    <hyperlink r:id="rId93" ref="C82"/>
    <hyperlink r:id="rId94" ref="D82"/>
    <hyperlink r:id="rId95" ref="D83"/>
    <hyperlink r:id="rId96" ref="C84"/>
    <hyperlink r:id="rId97" ref="D84"/>
    <hyperlink r:id="rId98" ref="C85"/>
    <hyperlink r:id="rId99" ref="D85"/>
    <hyperlink r:id="rId100" ref="C86"/>
    <hyperlink r:id="rId101" ref="D86"/>
    <hyperlink r:id="rId102" ref="C87"/>
    <hyperlink r:id="rId103" ref="D87"/>
    <hyperlink r:id="rId104" ref="D88"/>
    <hyperlink r:id="rId105" ref="C89"/>
    <hyperlink r:id="rId106" ref="D89"/>
    <hyperlink r:id="rId107" ref="D90"/>
    <hyperlink r:id="rId108" ref="D91"/>
    <hyperlink r:id="rId109" ref="D92"/>
    <hyperlink r:id="rId110" ref="C93"/>
    <hyperlink r:id="rId111" ref="D93"/>
    <hyperlink r:id="rId112" ref="D94"/>
    <hyperlink r:id="rId113" ref="C95"/>
    <hyperlink r:id="rId114" ref="D95"/>
    <hyperlink r:id="rId115" ref="C96"/>
    <hyperlink r:id="rId116" ref="D96"/>
    <hyperlink r:id="rId117" ref="D97"/>
    <hyperlink r:id="rId118" ref="D98"/>
    <hyperlink r:id="rId119" ref="D99"/>
    <hyperlink r:id="rId120" ref="D100"/>
    <hyperlink r:id="rId121" ref="D101"/>
    <hyperlink r:id="rId122" ref="C102"/>
    <hyperlink r:id="rId123" ref="D102"/>
    <hyperlink r:id="rId124" ref="C103"/>
    <hyperlink r:id="rId125" ref="D103"/>
    <hyperlink r:id="rId126" ref="D104"/>
    <hyperlink r:id="rId127" ref="C105"/>
    <hyperlink r:id="rId128" ref="D105"/>
    <hyperlink r:id="rId129" ref="C106"/>
    <hyperlink r:id="rId130" ref="D106"/>
    <hyperlink r:id="rId131" ref="D107"/>
    <hyperlink r:id="rId132" ref="C108"/>
    <hyperlink r:id="rId133" ref="D108"/>
    <hyperlink r:id="rId134" ref="D109"/>
    <hyperlink r:id="rId135" ref="C110"/>
    <hyperlink r:id="rId136" ref="D110"/>
    <hyperlink r:id="rId137" ref="D111"/>
    <hyperlink r:id="rId138" ref="C112"/>
    <hyperlink r:id="rId139" ref="D112"/>
    <hyperlink r:id="rId140" ref="D113"/>
    <hyperlink r:id="rId141" ref="D114"/>
    <hyperlink r:id="rId142" ref="C115"/>
    <hyperlink r:id="rId143" ref="D115"/>
    <hyperlink r:id="rId144" ref="C116"/>
    <hyperlink r:id="rId145" ref="D116"/>
    <hyperlink r:id="rId146" ref="C117"/>
    <hyperlink r:id="rId147" ref="D117"/>
    <hyperlink r:id="rId148" ref="C118"/>
    <hyperlink r:id="rId149" ref="D118"/>
    <hyperlink r:id="rId150" ref="C119"/>
    <hyperlink r:id="rId151" ref="D119"/>
    <hyperlink r:id="rId152" ref="D120"/>
    <hyperlink r:id="rId153" ref="C121"/>
    <hyperlink r:id="rId154" ref="D121"/>
    <hyperlink r:id="rId155" ref="C122"/>
    <hyperlink r:id="rId156" ref="D122"/>
    <hyperlink r:id="rId157" ref="C123"/>
    <hyperlink r:id="rId158" ref="D123"/>
    <hyperlink r:id="rId159" ref="C124"/>
    <hyperlink r:id="rId160" ref="D124"/>
    <hyperlink r:id="rId161" ref="C125"/>
    <hyperlink r:id="rId162" ref="D125"/>
    <hyperlink r:id="rId163" ref="D126"/>
    <hyperlink r:id="rId164" ref="A127"/>
    <hyperlink r:id="rId165" ref="D127"/>
    <hyperlink r:id="rId166" ref="C128"/>
    <hyperlink r:id="rId167" ref="D128"/>
    <hyperlink r:id="rId168" ref="D129"/>
    <hyperlink r:id="rId169" ref="D130"/>
    <hyperlink r:id="rId170" ref="C131"/>
    <hyperlink r:id="rId171" ref="D131"/>
    <hyperlink r:id="rId172" ref="C132"/>
    <hyperlink r:id="rId173" ref="D132"/>
    <hyperlink r:id="rId174" ref="D133"/>
    <hyperlink r:id="rId175" ref="D134"/>
    <hyperlink r:id="rId176" ref="D135"/>
    <hyperlink r:id="rId177" ref="C136"/>
    <hyperlink r:id="rId178" ref="D136"/>
    <hyperlink r:id="rId179" ref="D137"/>
    <hyperlink r:id="rId180" ref="D138"/>
    <hyperlink r:id="rId181" ref="D139"/>
    <hyperlink r:id="rId182" ref="D140"/>
    <hyperlink r:id="rId183" ref="D141"/>
    <hyperlink r:id="rId184" ref="D142"/>
    <hyperlink r:id="rId185" ref="D143"/>
    <hyperlink r:id="rId186" ref="D144"/>
    <hyperlink r:id="rId187" ref="D145"/>
    <hyperlink r:id="rId188" ref="D146"/>
    <hyperlink r:id="rId189" ref="D147"/>
    <hyperlink r:id="rId190" ref="D148"/>
    <hyperlink r:id="rId191" ref="D149"/>
    <hyperlink r:id="rId192" ref="C150"/>
    <hyperlink r:id="rId193" ref="D150"/>
    <hyperlink r:id="rId194" ref="D151"/>
    <hyperlink r:id="rId195" ref="D152"/>
    <hyperlink r:id="rId196" ref="D153"/>
    <hyperlink r:id="rId197" ref="C154"/>
    <hyperlink r:id="rId198" ref="D154"/>
    <hyperlink r:id="rId199" ref="D155"/>
    <hyperlink r:id="rId200" ref="D156"/>
    <hyperlink r:id="rId201" ref="D157"/>
    <hyperlink r:id="rId202" ref="D158"/>
    <hyperlink r:id="rId203" ref="D159"/>
    <hyperlink r:id="rId204" ref="D160"/>
    <hyperlink r:id="rId205" ref="D161"/>
    <hyperlink r:id="rId206" ref="D162"/>
    <hyperlink r:id="rId207" ref="D163"/>
    <hyperlink r:id="rId208" ref="D164"/>
    <hyperlink r:id="rId209" ref="C165"/>
    <hyperlink r:id="rId210" ref="D165"/>
    <hyperlink r:id="rId211" ref="D166"/>
    <hyperlink r:id="rId212" ref="D167"/>
    <hyperlink r:id="rId213" ref="C168"/>
    <hyperlink r:id="rId214" ref="D168"/>
    <hyperlink r:id="rId215" ref="D169"/>
    <hyperlink r:id="rId216" ref="D170"/>
    <hyperlink r:id="rId217" ref="D171"/>
    <hyperlink r:id="rId218" ref="C172"/>
    <hyperlink r:id="rId219" ref="D172"/>
    <hyperlink r:id="rId220" ref="D173"/>
    <hyperlink r:id="rId221" ref="D174"/>
    <hyperlink r:id="rId222" ref="D175"/>
    <hyperlink r:id="rId223" ref="D176"/>
    <hyperlink r:id="rId224" ref="D177"/>
    <hyperlink r:id="rId225" ref="D178"/>
    <hyperlink r:id="rId226" ref="C179"/>
    <hyperlink r:id="rId227" ref="D179"/>
    <hyperlink r:id="rId228" ref="D180"/>
    <hyperlink r:id="rId229" ref="D181"/>
    <hyperlink r:id="rId230" ref="D182"/>
    <hyperlink r:id="rId231" ref="D183"/>
    <hyperlink r:id="rId232" ref="D184"/>
    <hyperlink r:id="rId233" ref="D185"/>
    <hyperlink r:id="rId234" ref="D186"/>
    <hyperlink r:id="rId235" ref="D187"/>
    <hyperlink r:id="rId236" ref="D188"/>
    <hyperlink r:id="rId237" ref="D189"/>
    <hyperlink r:id="rId238" ref="D190"/>
    <hyperlink r:id="rId239" ref="D191"/>
    <hyperlink r:id="rId240" ref="D192"/>
    <hyperlink r:id="rId241" ref="D193"/>
    <hyperlink r:id="rId242" ref="D194"/>
    <hyperlink r:id="rId243" ref="D195"/>
    <hyperlink r:id="rId244" ref="D196"/>
    <hyperlink r:id="rId245" ref="D197"/>
    <hyperlink r:id="rId246" ref="D198"/>
    <hyperlink r:id="rId247" ref="D199"/>
    <hyperlink r:id="rId248" ref="D200"/>
    <hyperlink r:id="rId249" ref="C201"/>
    <hyperlink r:id="rId250" ref="D201"/>
    <hyperlink r:id="rId251" ref="C202"/>
    <hyperlink r:id="rId252" ref="D202"/>
    <hyperlink r:id="rId253" ref="C203"/>
    <hyperlink r:id="rId254" ref="D203"/>
    <hyperlink r:id="rId255" ref="C204"/>
    <hyperlink r:id="rId256" ref="D204"/>
    <hyperlink r:id="rId257" ref="C205"/>
    <hyperlink r:id="rId258" ref="D205"/>
    <hyperlink r:id="rId259" ref="D206"/>
    <hyperlink r:id="rId260" ref="C207"/>
    <hyperlink r:id="rId261" ref="D207"/>
    <hyperlink r:id="rId262" ref="D208"/>
    <hyperlink r:id="rId263" ref="D209"/>
    <hyperlink r:id="rId264" ref="C210"/>
    <hyperlink r:id="rId265" ref="D210"/>
    <hyperlink r:id="rId266" ref="C211"/>
    <hyperlink r:id="rId267" ref="D211"/>
    <hyperlink r:id="rId268" ref="D212"/>
    <hyperlink r:id="rId269" ref="D213"/>
    <hyperlink r:id="rId270" ref="C214"/>
    <hyperlink r:id="rId271" ref="D214"/>
    <hyperlink r:id="rId272" ref="C215"/>
    <hyperlink r:id="rId273" ref="D215"/>
    <hyperlink r:id="rId274" ref="D216"/>
    <hyperlink r:id="rId275" ref="C217"/>
    <hyperlink r:id="rId276" ref="D217"/>
    <hyperlink r:id="rId277" ref="C218"/>
    <hyperlink r:id="rId278" ref="D218"/>
    <hyperlink r:id="rId279" ref="C219"/>
    <hyperlink r:id="rId280" ref="D219"/>
    <hyperlink r:id="rId281" ref="D220"/>
    <hyperlink r:id="rId282" ref="D221"/>
    <hyperlink r:id="rId283" ref="D222"/>
    <hyperlink r:id="rId284" ref="D223"/>
    <hyperlink r:id="rId285" ref="D224"/>
    <hyperlink r:id="rId286" ref="D225"/>
    <hyperlink r:id="rId287" ref="D226"/>
    <hyperlink r:id="rId288" ref="D227"/>
    <hyperlink r:id="rId289" ref="D228"/>
    <hyperlink r:id="rId290" ref="D229"/>
    <hyperlink r:id="rId291" ref="D230"/>
    <hyperlink r:id="rId292" ref="D231"/>
    <hyperlink r:id="rId293" ref="D232"/>
    <hyperlink r:id="rId294" ref="D233"/>
    <hyperlink r:id="rId295" ref="D234"/>
    <hyperlink r:id="rId296" ref="D235"/>
    <hyperlink r:id="rId297" ref="D236"/>
    <hyperlink r:id="rId298" ref="C237"/>
    <hyperlink r:id="rId299" ref="D237"/>
    <hyperlink r:id="rId300" ref="D238"/>
    <hyperlink r:id="rId301" ref="C240"/>
    <hyperlink r:id="rId302" ref="D240"/>
    <hyperlink r:id="rId303" ref="C241"/>
    <hyperlink r:id="rId304" ref="D241"/>
    <hyperlink r:id="rId305" ref="D242"/>
    <hyperlink r:id="rId306" ref="C243"/>
    <hyperlink r:id="rId307" ref="D243"/>
    <hyperlink r:id="rId308" ref="C244"/>
    <hyperlink r:id="rId309" ref="D244"/>
    <hyperlink r:id="rId310" ref="D247"/>
    <hyperlink r:id="rId311" ref="D248"/>
    <hyperlink r:id="rId312" ref="C249"/>
    <hyperlink r:id="rId313" ref="D249"/>
    <hyperlink r:id="rId314" ref="D250"/>
    <hyperlink r:id="rId315" ref="D251"/>
    <hyperlink r:id="rId316" ref="D252"/>
    <hyperlink r:id="rId317" ref="D253"/>
    <hyperlink r:id="rId318" ref="C254"/>
    <hyperlink r:id="rId319" ref="D254"/>
    <hyperlink r:id="rId320" ref="D255"/>
    <hyperlink r:id="rId321" ref="D256"/>
    <hyperlink r:id="rId322" ref="D257"/>
    <hyperlink r:id="rId323" ref="C258"/>
    <hyperlink r:id="rId324" ref="D258"/>
    <hyperlink r:id="rId325" ref="D259"/>
    <hyperlink r:id="rId326" ref="D260"/>
    <hyperlink r:id="rId327" ref="C265"/>
    <hyperlink r:id="rId328" ref="D265"/>
    <hyperlink r:id="rId329" ref="D266"/>
    <hyperlink r:id="rId330" ref="D267"/>
    <hyperlink r:id="rId331" ref="C269"/>
    <hyperlink r:id="rId332" ref="D269"/>
    <hyperlink r:id="rId333" ref="D270"/>
    <hyperlink r:id="rId334" ref="C272"/>
    <hyperlink r:id="rId335" ref="D272"/>
    <hyperlink r:id="rId336" ref="D273"/>
    <hyperlink r:id="rId337" ref="D275"/>
    <hyperlink r:id="rId338" ref="C276"/>
    <hyperlink r:id="rId339" ref="D276"/>
    <hyperlink r:id="rId340" ref="C277"/>
    <hyperlink r:id="rId341" ref="D277"/>
    <hyperlink r:id="rId342" ref="D278"/>
    <hyperlink r:id="rId343" ref="D279"/>
    <hyperlink r:id="rId344" ref="D280"/>
    <hyperlink r:id="rId345" ref="D281"/>
    <hyperlink r:id="rId346" ref="D282"/>
    <hyperlink r:id="rId347" ref="C283"/>
    <hyperlink r:id="rId348" ref="D283"/>
    <hyperlink r:id="rId349" ref="D284"/>
    <hyperlink r:id="rId350" ref="D285"/>
    <hyperlink r:id="rId351" ref="C286"/>
    <hyperlink r:id="rId352" ref="D286"/>
    <hyperlink r:id="rId353" ref="D287"/>
    <hyperlink r:id="rId354" ref="D288"/>
    <hyperlink r:id="rId355" ref="D289"/>
    <hyperlink r:id="rId356" ref="D290"/>
    <hyperlink r:id="rId357" ref="D291"/>
    <hyperlink r:id="rId358" ref="D292"/>
    <hyperlink r:id="rId359" ref="D293"/>
    <hyperlink r:id="rId360" ref="D294"/>
    <hyperlink r:id="rId361" ref="D295"/>
    <hyperlink r:id="rId362" ref="D296"/>
  </hyperlinks>
  <printOptions/>
  <pageMargins bottom="1.0" footer="0.0" header="0.0" left="0.75" right="0.75" top="1.0"/>
  <pageSetup orientation="landscape"/>
  <drawing r:id="rId36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3.63"/>
    <col customWidth="1" min="4" max="4" width="20.13"/>
    <col customWidth="1" min="5" max="5" width="55.88"/>
    <col customWidth="1" min="6" max="6" width="77.75"/>
    <col customWidth="1" min="7" max="7" width="30.25"/>
    <col customWidth="1" min="8" max="8" width="16.75"/>
    <col customWidth="1" min="9" max="9" width="27.88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10</v>
      </c>
      <c r="H1" s="5" t="s">
        <v>11</v>
      </c>
      <c r="I1" s="5" t="s">
        <v>16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idden="1">
      <c r="A2" s="8">
        <v>2.9589621E8</v>
      </c>
      <c r="B2" s="8">
        <v>4.88601532E8</v>
      </c>
      <c r="C2" s="6" t="s">
        <v>25</v>
      </c>
      <c r="D2" s="8">
        <v>3.46064368E8</v>
      </c>
      <c r="E2" s="6" t="s">
        <v>26</v>
      </c>
      <c r="F2" s="11" t="s">
        <v>28</v>
      </c>
      <c r="G2" s="6" t="s">
        <v>35</v>
      </c>
      <c r="H2" s="6" t="str">
        <f>IF(G2="", "", IF(ISNUMBER(_xlfn.XMATCH(G2, 'Champions Sheet'!H:H)), "Found in Master", "MISSING in Alicia's"))</f>
        <v>MISSING in Alicia's</v>
      </c>
      <c r="I2" s="6" t="str">
        <f>IF(G2="", "", IF(ISNUMBER(_xlfn.XMATCH(G2, 'State Google Tags on Account'!E:E)), "Found in Alicia API Pull", "MISSING in Alicia's API Pull"))</f>
        <v>Found in Alicia API Pull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idden="1">
      <c r="A3" s="8">
        <v>2.9589621E8</v>
      </c>
      <c r="B3" s="8">
        <v>4.50964503E8</v>
      </c>
      <c r="C3" s="6" t="s">
        <v>43</v>
      </c>
      <c r="D3" s="8">
        <v>3.81643798E8</v>
      </c>
      <c r="E3" s="6" t="s">
        <v>44</v>
      </c>
      <c r="F3" s="11" t="s">
        <v>45</v>
      </c>
      <c r="G3" s="6" t="s">
        <v>54</v>
      </c>
      <c r="H3" s="6" t="str">
        <f>IF(G3="", "", IF(ISNUMBER(_xlfn.XMATCH(G3, 'Champions Sheet'!H:H)), "Found in Master", "MISSING in Alicia's"))</f>
        <v>MISSING in Alicia's</v>
      </c>
      <c r="I3" s="6" t="str">
        <f>IF(G3="", "", IF(ISNUMBER(_xlfn.XMATCH(G3, 'State Google Tags on Account'!E:E)), "Found in Alicia API Pull", "MISSING in Alicia's API Pull"))</f>
        <v>Found in Alicia API Pull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idden="1">
      <c r="A4" s="8">
        <v>2.9589621E8</v>
      </c>
      <c r="B4" s="8">
        <v>4.87084052E8</v>
      </c>
      <c r="C4" s="6" t="s">
        <v>61</v>
      </c>
      <c r="D4" s="8">
        <v>3.31553278E8</v>
      </c>
      <c r="E4" s="6" t="s">
        <v>62</v>
      </c>
      <c r="F4" s="11" t="s">
        <v>63</v>
      </c>
      <c r="G4" s="6" t="s">
        <v>68</v>
      </c>
      <c r="H4" s="6" t="str">
        <f>IF(G4="", "", IF(ISNUMBER(_xlfn.XMATCH(G4, 'Champions Sheet'!H:H)), "Found in Master", "MISSING in Alicia's"))</f>
        <v>MISSING in Alicia's</v>
      </c>
      <c r="I4" s="6" t="str">
        <f>IF(G4="", "", IF(ISNUMBER(_xlfn.XMATCH(G4, 'State Google Tags on Account'!E:E)), "Found in Alicia API Pull", "MISSING in Alicia's API Pull"))</f>
        <v>Found in Alicia API Pull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idden="1">
      <c r="A5" s="8">
        <v>2.9589621E8</v>
      </c>
      <c r="B5" s="8">
        <v>4.50964503E8</v>
      </c>
      <c r="C5" s="6" t="s">
        <v>43</v>
      </c>
      <c r="D5" s="8">
        <v>3.31553278E8</v>
      </c>
      <c r="E5" s="6" t="s">
        <v>62</v>
      </c>
      <c r="F5" s="11" t="s">
        <v>63</v>
      </c>
      <c r="G5" s="6" t="s">
        <v>68</v>
      </c>
      <c r="H5" s="6" t="str">
        <f>IF(G5="", "", IF(ISNUMBER(_xlfn.XMATCH(G5, 'Champions Sheet'!H:H)), "Found in Master", "MISSING in Alicia's"))</f>
        <v>MISSING in Alicia's</v>
      </c>
      <c r="I5" s="6" t="str">
        <f>IF(G5="", "", IF(ISNUMBER(_xlfn.XMATCH(G5, 'State Google Tags on Account'!E:E)), "Found in Alicia API Pull", "MISSING in Alicia's API Pull"))</f>
        <v>Found in Alicia API Pull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idden="1">
      <c r="A6" s="8">
        <v>2.9589621E8</v>
      </c>
      <c r="B6" s="8">
        <v>4.87084052E8</v>
      </c>
      <c r="C6" s="6" t="s">
        <v>61</v>
      </c>
      <c r="D6" s="8">
        <v>3.31579917E8</v>
      </c>
      <c r="E6" s="6" t="s">
        <v>79</v>
      </c>
      <c r="F6" s="11" t="s">
        <v>80</v>
      </c>
      <c r="G6" s="6" t="s">
        <v>83</v>
      </c>
      <c r="H6" s="6" t="str">
        <f>IF(G6="", "", IF(ISNUMBER(_xlfn.XMATCH(G6, 'Champions Sheet'!H:H)), "Found in Master", "MISSING in Alicia's"))</f>
        <v>MISSING in Alicia's</v>
      </c>
      <c r="I6" s="6" t="str">
        <f>IF(G6="", "", IF(ISNUMBER(_xlfn.XMATCH(G6, 'State Google Tags on Account'!E:E)), "Found in Alicia API Pull", "MISSING in Alicia's API Pull"))</f>
        <v>Found in Alicia API Pull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idden="1">
      <c r="A7" s="8">
        <v>2.9589621E8</v>
      </c>
      <c r="B7" s="8">
        <v>4.50964503E8</v>
      </c>
      <c r="C7" s="6" t="s">
        <v>43</v>
      </c>
      <c r="D7" s="8">
        <v>3.31579917E8</v>
      </c>
      <c r="E7" s="6" t="s">
        <v>79</v>
      </c>
      <c r="F7" s="11" t="s">
        <v>80</v>
      </c>
      <c r="G7" s="6" t="s">
        <v>83</v>
      </c>
      <c r="H7" s="6" t="str">
        <f>IF(G7="", "", IF(ISNUMBER(_xlfn.XMATCH(G7, 'Champions Sheet'!H:H)), "Found in Master", "MISSING in Alicia's"))</f>
        <v>MISSING in Alicia's</v>
      </c>
      <c r="I7" s="6" t="str">
        <f>IF(G7="", "", IF(ISNUMBER(_xlfn.XMATCH(G7, 'State Google Tags on Account'!E:E)), "Found in Alicia API Pull", "MISSING in Alicia's API Pull"))</f>
        <v>Found in Alicia API Pull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idden="1">
      <c r="A8" s="8">
        <v>2.9589621E8</v>
      </c>
      <c r="B8" s="8">
        <v>4.88601532E8</v>
      </c>
      <c r="C8" s="6" t="s">
        <v>25</v>
      </c>
      <c r="D8" s="8">
        <v>3.46115405E8</v>
      </c>
      <c r="E8" s="6" t="s">
        <v>113</v>
      </c>
      <c r="F8" s="11" t="s">
        <v>115</v>
      </c>
      <c r="G8" s="6" t="s">
        <v>126</v>
      </c>
      <c r="H8" s="6" t="str">
        <f>IF(G8="", "", IF(ISNUMBER(_xlfn.XMATCH(G8, 'Champions Sheet'!H:H)), "Found in Master", "MISSING in Alicia's"))</f>
        <v>Found in Master</v>
      </c>
      <c r="I8" s="6" t="str">
        <f>IF(G8="", "", IF(ISNUMBER(_xlfn.XMATCH(G8, 'State Google Tags on Account'!E:E)), "Found in Alicia API Pull", "MISSING in Alicia's API Pull"))</f>
        <v>Found in Alicia API Pull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idden="1">
      <c r="A9" s="8">
        <v>2.9589621E8</v>
      </c>
      <c r="B9" s="8">
        <v>4.87084052E8</v>
      </c>
      <c r="C9" s="6" t="s">
        <v>61</v>
      </c>
      <c r="D9" s="8">
        <v>3.31609147E8</v>
      </c>
      <c r="E9" s="6" t="s">
        <v>140</v>
      </c>
      <c r="F9" s="11" t="s">
        <v>141</v>
      </c>
      <c r="G9" s="6" t="s">
        <v>148</v>
      </c>
      <c r="H9" s="6" t="str">
        <f>IF(G9="", "", IF(ISNUMBER(_xlfn.XMATCH(G9, 'Champions Sheet'!H:H)), "Found in Master", "MISSING in Alicia's"))</f>
        <v>MISSING in Alicia's</v>
      </c>
      <c r="I9" s="6" t="str">
        <f>IF(G9="", "", IF(ISNUMBER(_xlfn.XMATCH(G9, 'State Google Tags on Account'!E:E)), "Found in Alicia API Pull", "MISSING in Alicia's API Pull"))</f>
        <v>Found in Alicia API Pull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idden="1">
      <c r="A10" s="8">
        <v>2.9589621E8</v>
      </c>
      <c r="B10" s="8">
        <v>4.50964503E8</v>
      </c>
      <c r="C10" s="6" t="s">
        <v>43</v>
      </c>
      <c r="D10" s="8">
        <v>3.31609147E8</v>
      </c>
      <c r="E10" s="6" t="s">
        <v>140</v>
      </c>
      <c r="F10" s="11" t="s">
        <v>141</v>
      </c>
      <c r="G10" s="6" t="s">
        <v>148</v>
      </c>
      <c r="H10" s="6" t="str">
        <f>IF(G10="", "", IF(ISNUMBER(_xlfn.XMATCH(G10, 'Champions Sheet'!H:H)), "Found in Master", "MISSING in Alicia's"))</f>
        <v>MISSING in Alicia's</v>
      </c>
      <c r="I10" s="6" t="str">
        <f>IF(G10="", "", IF(ISNUMBER(_xlfn.XMATCH(G10, 'State Google Tags on Account'!E:E)), "Found in Alicia API Pull", "MISSING in Alicia's API Pull"))</f>
        <v>Found in Alicia API Pull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idden="1">
      <c r="A11" s="8">
        <v>2.9589621E8</v>
      </c>
      <c r="B11" s="8">
        <v>4.50964503E8</v>
      </c>
      <c r="C11" s="6" t="s">
        <v>43</v>
      </c>
      <c r="D11" s="8">
        <v>3.85127374E8</v>
      </c>
      <c r="E11" s="6" t="s">
        <v>159</v>
      </c>
      <c r="F11" s="11" t="s">
        <v>160</v>
      </c>
      <c r="G11" s="6" t="s">
        <v>164</v>
      </c>
      <c r="H11" s="6" t="str">
        <f>IF(G11="", "", IF(ISNUMBER(_xlfn.XMATCH(G11, 'Champions Sheet'!H:H)), "Found in Master", "MISSING in Alicia's"))</f>
        <v>MISSING in Alicia's</v>
      </c>
      <c r="I11" s="6" t="str">
        <f>IF(G11="", "", IF(ISNUMBER(_xlfn.XMATCH(G11, 'State Google Tags on Account'!E:E)), "Found in Alicia API Pull", "MISSING in Alicia's API Pull"))</f>
        <v>Found in Alicia API Pull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idden="1">
      <c r="A12" s="8">
        <v>2.9589621E8</v>
      </c>
      <c r="B12" s="8">
        <v>4.82352716E8</v>
      </c>
      <c r="C12" s="6" t="s">
        <v>179</v>
      </c>
      <c r="D12" s="8">
        <v>3.46275491E8</v>
      </c>
      <c r="E12" s="6" t="s">
        <v>181</v>
      </c>
      <c r="F12" s="11" t="s">
        <v>183</v>
      </c>
      <c r="G12" s="6" t="s">
        <v>185</v>
      </c>
      <c r="H12" s="6" t="str">
        <f>IF(G12="", "", IF(ISNUMBER(_xlfn.XMATCH(G12, 'Champions Sheet'!H:H)), "Found in Master", "MISSING in Alicia's"))</f>
        <v>MISSING in Alicia's</v>
      </c>
      <c r="I12" s="6" t="str">
        <f>IF(G12="", "", IF(ISNUMBER(_xlfn.XMATCH(G12, 'State Google Tags on Account'!E:E)), "Found in Alicia API Pull", "MISSING in Alicia's API Pull"))</f>
        <v>Found in Alicia API Pull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idden="1">
      <c r="A13" s="8">
        <v>2.9589621E8</v>
      </c>
      <c r="B13" s="8">
        <v>4.50964503E8</v>
      </c>
      <c r="C13" s="6" t="s">
        <v>43</v>
      </c>
      <c r="D13" s="8">
        <v>3.46275491E8</v>
      </c>
      <c r="E13" s="6" t="s">
        <v>181</v>
      </c>
      <c r="F13" s="11" t="s">
        <v>183</v>
      </c>
      <c r="G13" s="6" t="s">
        <v>185</v>
      </c>
      <c r="H13" s="6" t="str">
        <f>IF(G13="", "", IF(ISNUMBER(_xlfn.XMATCH(G13, 'Champions Sheet'!H:H)), "Found in Master", "MISSING in Alicia's"))</f>
        <v>MISSING in Alicia's</v>
      </c>
      <c r="I13" s="6" t="str">
        <f>IF(G13="", "", IF(ISNUMBER(_xlfn.XMATCH(G13, 'State Google Tags on Account'!E:E)), "Found in Alicia API Pull", "MISSING in Alicia's API Pull"))</f>
        <v>Found in Alicia API Pull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hidden="1" customHeight="1">
      <c r="A14" s="8">
        <v>2.9589621E8</v>
      </c>
      <c r="B14" s="8">
        <v>4.87084052E8</v>
      </c>
      <c r="C14" s="6" t="s">
        <v>61</v>
      </c>
      <c r="D14" s="8">
        <v>3.31614593E8</v>
      </c>
      <c r="E14" s="6" t="s">
        <v>198</v>
      </c>
      <c r="F14" s="11" t="s">
        <v>199</v>
      </c>
      <c r="G14" s="6" t="s">
        <v>204</v>
      </c>
      <c r="H14" s="6" t="str">
        <f>IF(G14="", "", IF(ISNUMBER(_xlfn.XMATCH(G14, 'Champions Sheet'!H:H)), "Found in Master", "MISSING in Alicia's"))</f>
        <v>MISSING in Alicia's</v>
      </c>
      <c r="I14" s="6" t="str">
        <f>IF(G14="", "", IF(ISNUMBER(_xlfn.XMATCH(G14, 'State Google Tags on Account'!E:E)), "Found in Alicia API Pull", "MISSING in Alicia's API Pull"))</f>
        <v>Found in Alicia API Pull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idden="1">
      <c r="A15" s="8">
        <v>2.9589621E8</v>
      </c>
      <c r="B15" s="8">
        <v>4.50964503E8</v>
      </c>
      <c r="C15" s="6" t="s">
        <v>43</v>
      </c>
      <c r="D15" s="8">
        <v>3.31614593E8</v>
      </c>
      <c r="E15" s="6" t="s">
        <v>198</v>
      </c>
      <c r="F15" s="11" t="s">
        <v>199</v>
      </c>
      <c r="G15" s="6" t="s">
        <v>204</v>
      </c>
      <c r="H15" s="6" t="str">
        <f>IF(G15="", "", IF(ISNUMBER(_xlfn.XMATCH(G15, 'Champions Sheet'!H:H)), "Found in Master", "MISSING in Alicia's"))</f>
        <v>MISSING in Alicia's</v>
      </c>
      <c r="I15" s="6" t="str">
        <f>IF(G15="", "", IF(ISNUMBER(_xlfn.XMATCH(G15, 'State Google Tags on Account'!E:E)), "Found in Alicia API Pull", "MISSING in Alicia's API Pull"))</f>
        <v>Found in Alicia API Pull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idden="1">
      <c r="A16" s="8">
        <v>2.9589621E8</v>
      </c>
      <c r="B16" s="8">
        <v>4.87084052E8</v>
      </c>
      <c r="C16" s="6" t="s">
        <v>61</v>
      </c>
      <c r="D16" s="8">
        <v>3.31627723E8</v>
      </c>
      <c r="E16" s="6" t="s">
        <v>227</v>
      </c>
      <c r="F16" s="11" t="s">
        <v>228</v>
      </c>
      <c r="G16" s="6" t="s">
        <v>236</v>
      </c>
      <c r="H16" s="6" t="str">
        <f>IF(G16="", "", IF(ISNUMBER(_xlfn.XMATCH(G16, 'Champions Sheet'!H:H)), "Found in Master", "MISSING in Alicia's"))</f>
        <v>MISSING in Alicia's</v>
      </c>
      <c r="I16" s="6" t="str">
        <f>IF(G16="", "", IF(ISNUMBER(_xlfn.XMATCH(G16, 'State Google Tags on Account'!E:E)), "Found in Alicia API Pull", "MISSING in Alicia's API Pull"))</f>
        <v>Found in Alicia API Pull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idden="1">
      <c r="A17" s="8">
        <v>2.9589621E8</v>
      </c>
      <c r="B17" s="8">
        <v>4.88601532E8</v>
      </c>
      <c r="C17" s="6" t="s">
        <v>25</v>
      </c>
      <c r="D17" s="8">
        <v>3.31627723E8</v>
      </c>
      <c r="E17" s="6" t="s">
        <v>227</v>
      </c>
      <c r="F17" s="11" t="s">
        <v>228</v>
      </c>
      <c r="G17" s="6" t="s">
        <v>236</v>
      </c>
      <c r="H17" s="6" t="str">
        <f>IF(G17="", "", IF(ISNUMBER(_xlfn.XMATCH(G17, 'Champions Sheet'!H:H)), "Found in Master", "MISSING in Alicia's"))</f>
        <v>MISSING in Alicia's</v>
      </c>
      <c r="I17" s="6" t="str">
        <f>IF(G17="", "", IF(ISNUMBER(_xlfn.XMATCH(G17, 'State Google Tags on Account'!E:E)), "Found in Alicia API Pull", "MISSING in Alicia's API Pull"))</f>
        <v>Found in Alicia API Pull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idden="1">
      <c r="A18" s="8">
        <v>2.9589621E8</v>
      </c>
      <c r="B18" s="8">
        <v>4.82352716E8</v>
      </c>
      <c r="C18" s="6" t="s">
        <v>179</v>
      </c>
      <c r="D18" s="8">
        <v>3.46745177E8</v>
      </c>
      <c r="E18" s="6" t="s">
        <v>257</v>
      </c>
      <c r="F18" s="11" t="s">
        <v>258</v>
      </c>
      <c r="G18" s="6" t="s">
        <v>263</v>
      </c>
      <c r="H18" s="6" t="str">
        <f>IF(G18="", "", IF(ISNUMBER(_xlfn.XMATCH(G18, 'Champions Sheet'!H:H)), "Found in Master", "MISSING in Alicia's"))</f>
        <v>Found in Master</v>
      </c>
      <c r="I18" s="6" t="str">
        <f>IF(G18="", "", IF(ISNUMBER(_xlfn.XMATCH(G18, 'State Google Tags on Account'!E:E)), "Found in Alicia API Pull", "MISSING in Alicia's API Pull"))</f>
        <v>Found in Alicia API Pull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idden="1">
      <c r="A19" s="8">
        <v>2.9589621E8</v>
      </c>
      <c r="B19" s="8">
        <v>4.50964503E8</v>
      </c>
      <c r="C19" s="6" t="s">
        <v>43</v>
      </c>
      <c r="D19" s="8">
        <v>3.46745177E8</v>
      </c>
      <c r="E19" s="6" t="s">
        <v>257</v>
      </c>
      <c r="F19" s="11" t="s">
        <v>258</v>
      </c>
      <c r="G19" s="6" t="s">
        <v>263</v>
      </c>
      <c r="H19" s="6" t="str">
        <f>IF(G19="", "", IF(ISNUMBER(_xlfn.XMATCH(G19, 'Champions Sheet'!H:H)), "Found in Master", "MISSING in Alicia's"))</f>
        <v>Found in Master</v>
      </c>
      <c r="I19" s="6" t="str">
        <f>IF(G19="", "", IF(ISNUMBER(_xlfn.XMATCH(G19, 'State Google Tags on Account'!E:E)), "Found in Alicia API Pull", "MISSING in Alicia's API Pull"))</f>
        <v>Found in Alicia API Pull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">
        <v>2.9589621E8</v>
      </c>
      <c r="B20" s="8">
        <v>4.82151148E8</v>
      </c>
      <c r="C20" s="6" t="s">
        <v>282</v>
      </c>
      <c r="D20" s="8">
        <v>3.24057916E8</v>
      </c>
      <c r="E20" s="6" t="s">
        <v>283</v>
      </c>
      <c r="F20" s="6" t="s">
        <v>284</v>
      </c>
      <c r="G20" s="6" t="s">
        <v>285</v>
      </c>
      <c r="H20" s="6" t="str">
        <f>IF(G20="", "", IF(ISNUMBER(_xlfn.XMATCH(G20, 'Champions Sheet'!H:H)), "Found in Master", "MISSING in Alicia's"))</f>
        <v>MISSING in Alicia's</v>
      </c>
      <c r="I20" s="5" t="s">
        <v>288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8">
        <v>2.9589621E8</v>
      </c>
      <c r="B21" s="8">
        <v>4.50964503E8</v>
      </c>
      <c r="C21" s="6" t="s">
        <v>43</v>
      </c>
      <c r="D21" s="8">
        <v>3.24057916E8</v>
      </c>
      <c r="E21" s="6" t="s">
        <v>283</v>
      </c>
      <c r="F21" s="6" t="s">
        <v>284</v>
      </c>
      <c r="G21" s="6" t="s">
        <v>285</v>
      </c>
      <c r="H21" s="6" t="str">
        <f>IF(G21="", "", IF(ISNUMBER(_xlfn.XMATCH(G21, 'Champions Sheet'!H:H)), "Found in Master", "MISSING in Alicia's"))</f>
        <v>MISSING in Alicia's</v>
      </c>
      <c r="I21" s="5" t="s">
        <v>288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idden="1">
      <c r="A22" s="8">
        <v>2.9589621E8</v>
      </c>
      <c r="B22" s="8">
        <v>4.82151148E8</v>
      </c>
      <c r="C22" s="6" t="s">
        <v>282</v>
      </c>
      <c r="D22" s="8">
        <v>3.3154896E8</v>
      </c>
      <c r="E22" s="6" t="s">
        <v>292</v>
      </c>
      <c r="F22" s="11" t="s">
        <v>293</v>
      </c>
      <c r="G22" s="6" t="s">
        <v>299</v>
      </c>
      <c r="H22" s="6" t="str">
        <f>IF(G22="", "", IF(ISNUMBER(_xlfn.XMATCH(G22, 'Champions Sheet'!H:H)), "Found in Master", "MISSING in Alicia's"))</f>
        <v>MISSING in Alicia's</v>
      </c>
      <c r="I22" s="6" t="str">
        <f>IF(G22="", "", IF(ISNUMBER(_xlfn.XMATCH(G22, 'State Google Tags on Account'!E:E)), "Found in Alicia API Pull", "MISSING in Alicia's API Pull"))</f>
        <v>Found in Alicia API Pull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idden="1">
      <c r="A23" s="8">
        <v>2.9589621E8</v>
      </c>
      <c r="B23" s="8">
        <v>4.50964503E8</v>
      </c>
      <c r="C23" s="6" t="s">
        <v>43</v>
      </c>
      <c r="D23" s="8">
        <v>3.3154896E8</v>
      </c>
      <c r="E23" s="6" t="s">
        <v>292</v>
      </c>
      <c r="F23" s="11" t="s">
        <v>293</v>
      </c>
      <c r="G23" s="6" t="s">
        <v>299</v>
      </c>
      <c r="H23" s="6" t="str">
        <f>IF(G23="", "", IF(ISNUMBER(_xlfn.XMATCH(G23, 'Champions Sheet'!H:H)), "Found in Master", "MISSING in Alicia's"))</f>
        <v>MISSING in Alicia's</v>
      </c>
      <c r="I23" s="6" t="str">
        <f>IF(G23="", "", IF(ISNUMBER(_xlfn.XMATCH(G23, 'State Google Tags on Account'!E:E)), "Found in Alicia API Pull", "MISSING in Alicia's API Pull"))</f>
        <v>Found in Alicia API Pull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idden="1">
      <c r="A24" s="8">
        <v>2.9589621E8</v>
      </c>
      <c r="B24" s="8">
        <v>4.50964503E8</v>
      </c>
      <c r="C24" s="6" t="s">
        <v>43</v>
      </c>
      <c r="D24" s="8">
        <v>3.62376887E8</v>
      </c>
      <c r="E24" s="6" t="s">
        <v>316</v>
      </c>
      <c r="F24" s="11" t="s">
        <v>317</v>
      </c>
      <c r="G24" s="6" t="s">
        <v>328</v>
      </c>
      <c r="H24" s="6" t="str">
        <f>IF(G24="", "", IF(ISNUMBER(_xlfn.XMATCH(G24, 'Champions Sheet'!H:H)), "Found in Master", "MISSING in Alicia's"))</f>
        <v>MISSING in Alicia's</v>
      </c>
      <c r="I24" s="6" t="str">
        <f>IF(G24="", "", IF(ISNUMBER(_xlfn.XMATCH(G24, 'State Google Tags on Account'!E:E)), "Found in Alicia API Pull", "MISSING in Alicia's API Pull"))</f>
        <v>Found in Alicia API Pull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idden="1">
      <c r="A25" s="8">
        <v>2.9589621E8</v>
      </c>
      <c r="B25" s="8">
        <v>4.87657823E8</v>
      </c>
      <c r="C25" s="6" t="s">
        <v>333</v>
      </c>
      <c r="D25" s="8">
        <v>3.62601737E8</v>
      </c>
      <c r="E25" s="6" t="s">
        <v>334</v>
      </c>
      <c r="F25" s="11" t="s">
        <v>335</v>
      </c>
      <c r="G25" s="6" t="s">
        <v>339</v>
      </c>
      <c r="H25" s="6" t="str">
        <f>IF(G25="", "", IF(ISNUMBER(_xlfn.XMATCH(G25, 'Champions Sheet'!H:H)), "Found in Master", "MISSING in Alicia's"))</f>
        <v>MISSING in Alicia's</v>
      </c>
      <c r="I25" s="6" t="str">
        <f>IF(G25="", "", IF(ISNUMBER(_xlfn.XMATCH(G25, 'State Google Tags on Account'!E:E)), "Found in Alicia API Pull", "MISSING in Alicia's API Pull"))</f>
        <v>Found in Alicia API Pull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idden="1">
      <c r="A26" s="8">
        <v>2.9589621E8</v>
      </c>
      <c r="B26" s="8">
        <v>4.50964503E8</v>
      </c>
      <c r="C26" s="6" t="s">
        <v>43</v>
      </c>
      <c r="D26" s="8">
        <v>3.62601737E8</v>
      </c>
      <c r="E26" s="6" t="s">
        <v>334</v>
      </c>
      <c r="F26" s="11" t="s">
        <v>335</v>
      </c>
      <c r="G26" s="6" t="s">
        <v>339</v>
      </c>
      <c r="H26" s="6" t="str">
        <f>IF(G26="", "", IF(ISNUMBER(_xlfn.XMATCH(G26, 'Champions Sheet'!H:H)), "Found in Master", "MISSING in Alicia's"))</f>
        <v>MISSING in Alicia's</v>
      </c>
      <c r="I26" s="6" t="str">
        <f>IF(G26="", "", IF(ISNUMBER(_xlfn.XMATCH(G26, 'State Google Tags on Account'!E:E)), "Found in Alicia API Pull", "MISSING in Alicia's API Pull"))</f>
        <v>Found in Alicia API Pull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idden="1">
      <c r="A27" s="8">
        <v>2.9589621E8</v>
      </c>
      <c r="B27" s="8">
        <v>4.82151148E8</v>
      </c>
      <c r="C27" s="6" t="s">
        <v>282</v>
      </c>
      <c r="D27" s="8">
        <v>3.46726586E8</v>
      </c>
      <c r="E27" s="6" t="s">
        <v>357</v>
      </c>
      <c r="F27" s="11" t="s">
        <v>359</v>
      </c>
      <c r="G27" s="6" t="s">
        <v>367</v>
      </c>
      <c r="H27" s="6" t="str">
        <f>IF(G27="", "", IF(ISNUMBER(_xlfn.XMATCH(G27, 'Champions Sheet'!H:H)), "Found in Master", "MISSING in Alicia's"))</f>
        <v>Found in Master</v>
      </c>
      <c r="I27" s="6" t="str">
        <f>IF(G27="", "", IF(ISNUMBER(_xlfn.XMATCH(G27, 'State Google Tags on Account'!E:E)), "Found in Alicia API Pull", "MISSING in Alicia's API Pull"))</f>
        <v>Found in Alicia API Pull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idden="1">
      <c r="A28" s="8">
        <v>2.9589621E8</v>
      </c>
      <c r="B28" s="8">
        <v>4.50964503E8</v>
      </c>
      <c r="C28" s="6" t="s">
        <v>43</v>
      </c>
      <c r="D28" s="8">
        <v>3.46726586E8</v>
      </c>
      <c r="E28" s="6" t="s">
        <v>357</v>
      </c>
      <c r="F28" s="11" t="s">
        <v>359</v>
      </c>
      <c r="G28" s="6" t="s">
        <v>367</v>
      </c>
      <c r="H28" s="6" t="str">
        <f>IF(G28="", "", IF(ISNUMBER(_xlfn.XMATCH(G28, 'Champions Sheet'!H:H)), "Found in Master", "MISSING in Alicia's"))</f>
        <v>Found in Master</v>
      </c>
      <c r="I28" s="6" t="str">
        <f>IF(G28="", "", IF(ISNUMBER(_xlfn.XMATCH(G28, 'State Google Tags on Account'!E:E)), "Found in Alicia API Pull", "MISSING in Alicia's API Pull"))</f>
        <v>Found in Alicia API Pull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idden="1">
      <c r="A29" s="8">
        <v>2.9589621E8</v>
      </c>
      <c r="B29" s="8">
        <v>4.83039742E8</v>
      </c>
      <c r="C29" s="6" t="s">
        <v>408</v>
      </c>
      <c r="D29" s="8">
        <v>3.67864194E8</v>
      </c>
      <c r="E29" s="6" t="s">
        <v>409</v>
      </c>
      <c r="F29" s="11" t="s">
        <v>410</v>
      </c>
      <c r="G29" s="6" t="s">
        <v>414</v>
      </c>
      <c r="H29" s="6" t="str">
        <f>IF(G29="", "", IF(ISNUMBER(_xlfn.XMATCH(G29, 'Champions Sheet'!H:H)), "Found in Master", "MISSING in Alicia's"))</f>
        <v>MISSING in Alicia's</v>
      </c>
      <c r="I29" s="6" t="str">
        <f>IF(G29="", "", IF(ISNUMBER(_xlfn.XMATCH(G29, 'State Google Tags on Account'!E:E)), "Found in Alicia API Pull", "MISSING in Alicia's API Pull"))</f>
        <v>Found in Alicia API Pull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idden="1">
      <c r="A30" s="8">
        <v>2.9589621E8</v>
      </c>
      <c r="B30" s="8">
        <v>4.88601532E8</v>
      </c>
      <c r="C30" s="6" t="s">
        <v>25</v>
      </c>
      <c r="D30" s="8">
        <v>3.67864194E8</v>
      </c>
      <c r="E30" s="6" t="s">
        <v>409</v>
      </c>
      <c r="F30" s="11" t="s">
        <v>410</v>
      </c>
      <c r="G30" s="6" t="s">
        <v>414</v>
      </c>
      <c r="H30" s="6" t="str">
        <f>IF(G30="", "", IF(ISNUMBER(_xlfn.XMATCH(G30, 'Champions Sheet'!H:H)), "Found in Master", "MISSING in Alicia's"))</f>
        <v>MISSING in Alicia's</v>
      </c>
      <c r="I30" s="6" t="str">
        <f>IF(G30="", "", IF(ISNUMBER(_xlfn.XMATCH(G30, 'State Google Tags on Account'!E:E)), "Found in Alicia API Pull", "MISSING in Alicia's API Pull"))</f>
        <v>Found in Alicia API Pull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idden="1">
      <c r="A31" s="8">
        <v>2.9589621E8</v>
      </c>
      <c r="B31" s="8">
        <v>4.82352716E8</v>
      </c>
      <c r="C31" s="6" t="s">
        <v>179</v>
      </c>
      <c r="D31" s="8">
        <v>3.46731853E8</v>
      </c>
      <c r="E31" s="6" t="s">
        <v>421</v>
      </c>
      <c r="F31" s="11" t="s">
        <v>422</v>
      </c>
      <c r="G31" s="6" t="s">
        <v>425</v>
      </c>
      <c r="H31" s="6" t="str">
        <f>IF(G31="", "", IF(ISNUMBER(_xlfn.XMATCH(G31, 'Champions Sheet'!H:H)), "Found in Master", "MISSING in Alicia's"))</f>
        <v>MISSING in Alicia's</v>
      </c>
      <c r="I31" s="6" t="str">
        <f>IF(G31="", "", IF(ISNUMBER(_xlfn.XMATCH(G31, 'State Google Tags on Account'!E:E)), "Found in Alicia API Pull", "MISSING in Alicia's API Pull"))</f>
        <v>Found in Alicia API Pull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idden="1">
      <c r="A32" s="8">
        <v>2.9589621E8</v>
      </c>
      <c r="B32" s="8">
        <v>4.50964503E8</v>
      </c>
      <c r="C32" s="6" t="s">
        <v>43</v>
      </c>
      <c r="D32" s="8">
        <v>3.46731853E8</v>
      </c>
      <c r="E32" s="6" t="s">
        <v>421</v>
      </c>
      <c r="F32" s="11" t="s">
        <v>422</v>
      </c>
      <c r="G32" s="6" t="s">
        <v>425</v>
      </c>
      <c r="H32" s="6" t="str">
        <f>IF(G32="", "", IF(ISNUMBER(_xlfn.XMATCH(G32, 'Champions Sheet'!H:H)), "Found in Master", "MISSING in Alicia's"))</f>
        <v>MISSING in Alicia's</v>
      </c>
      <c r="I32" s="6" t="str">
        <f>IF(G32="", "", IF(ISNUMBER(_xlfn.XMATCH(G32, 'State Google Tags on Account'!E:E)), "Found in Alicia API Pull", "MISSING in Alicia's API Pull"))</f>
        <v>Found in Alicia API Pull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idden="1">
      <c r="A33" s="8">
        <v>2.9589621E8</v>
      </c>
      <c r="B33" s="8">
        <v>4.88601532E8</v>
      </c>
      <c r="C33" s="6" t="s">
        <v>25</v>
      </c>
      <c r="D33" s="8">
        <v>3.85235281E8</v>
      </c>
      <c r="E33" s="6" t="s">
        <v>128</v>
      </c>
      <c r="F33" s="11" t="s">
        <v>261</v>
      </c>
      <c r="G33" s="6" t="s">
        <v>262</v>
      </c>
      <c r="H33" s="6" t="str">
        <f>IF(G33="", "", IF(ISNUMBER(_xlfn.XMATCH(G33, 'Champions Sheet'!H:H)), "Found in Master", "MISSING in Alicia's"))</f>
        <v>MISSING in Alicia's</v>
      </c>
      <c r="I33" s="6" t="str">
        <f>IF(G33="", "", IF(ISNUMBER(_xlfn.XMATCH(G33, 'State Google Tags on Account'!E:E)), "Found in Alicia API Pull", "MISSING in Alicia's API Pull"))</f>
        <v>Found in Alicia API Pull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idden="1">
      <c r="A34" s="8">
        <v>2.9589621E8</v>
      </c>
      <c r="B34" s="8">
        <v>4.50964503E8</v>
      </c>
      <c r="C34" s="6" t="s">
        <v>43</v>
      </c>
      <c r="D34" s="8">
        <v>3.4611764E8</v>
      </c>
      <c r="E34" s="6" t="s">
        <v>142</v>
      </c>
      <c r="F34" s="11" t="s">
        <v>451</v>
      </c>
      <c r="G34" s="6" t="s">
        <v>139</v>
      </c>
      <c r="H34" s="6" t="str">
        <f>IF(G34="", "", IF(ISNUMBER(_xlfn.XMATCH(G34, 'Champions Sheet'!H:H)), "Found in Master", "MISSING in Alicia's"))</f>
        <v>Found in Master</v>
      </c>
      <c r="I34" s="6" t="str">
        <f>IF(G34="", "", IF(ISNUMBER(_xlfn.XMATCH(G34, 'State Google Tags on Account'!E:E)), "Found in Alicia API Pull", "MISSING in Alicia's API Pull"))</f>
        <v>Found in Alicia API Pull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idden="1">
      <c r="A35" s="8">
        <v>2.9589621E8</v>
      </c>
      <c r="B35" s="8">
        <v>4.83012671E8</v>
      </c>
      <c r="C35" s="6" t="s">
        <v>462</v>
      </c>
      <c r="D35" s="8">
        <v>3.46542253E8</v>
      </c>
      <c r="E35" s="6" t="s">
        <v>112</v>
      </c>
      <c r="F35" s="11" t="s">
        <v>464</v>
      </c>
      <c r="G35" s="6" t="s">
        <v>111</v>
      </c>
      <c r="H35" s="6" t="str">
        <f>IF(G35="", "", IF(ISNUMBER(_xlfn.XMATCH(G35, 'Champions Sheet'!H:H)), "Found in Master", "MISSING in Alicia's"))</f>
        <v>Found in Master</v>
      </c>
      <c r="I35" s="6" t="str">
        <f>IF(G35="", "", IF(ISNUMBER(_xlfn.XMATCH(G35, 'State Google Tags on Account'!E:E)), "Found in Alicia API Pull", "MISSING in Alicia's API Pull"))</f>
        <v>Found in Alicia API Pull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idden="1">
      <c r="A36" s="8">
        <v>2.9589621E8</v>
      </c>
      <c r="B36" s="8">
        <v>4.50964503E8</v>
      </c>
      <c r="C36" s="6" t="s">
        <v>43</v>
      </c>
      <c r="D36" s="8">
        <v>3.46542253E8</v>
      </c>
      <c r="E36" s="6" t="s">
        <v>112</v>
      </c>
      <c r="F36" s="11" t="s">
        <v>464</v>
      </c>
      <c r="G36" s="6" t="s">
        <v>111</v>
      </c>
      <c r="H36" s="6" t="str">
        <f>IF(G36="", "", IF(ISNUMBER(_xlfn.XMATCH(G36, 'Champions Sheet'!H:H)), "Found in Master", "MISSING in Alicia's"))</f>
        <v>Found in Master</v>
      </c>
      <c r="I36" s="6" t="str">
        <f>IF(G36="", "", IF(ISNUMBER(_xlfn.XMATCH(G36, 'State Google Tags on Account'!E:E)), "Found in Alicia API Pull", "MISSING in Alicia's API Pull"))</f>
        <v>Found in Alicia API Pull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idden="1">
      <c r="A37" s="8">
        <v>2.9589621E8</v>
      </c>
      <c r="B37" s="8">
        <v>4.50964503E8</v>
      </c>
      <c r="C37" s="6" t="s">
        <v>43</v>
      </c>
      <c r="D37" s="8">
        <v>3.64947965E8</v>
      </c>
      <c r="E37" s="6" t="s">
        <v>506</v>
      </c>
      <c r="F37" s="11" t="s">
        <v>507</v>
      </c>
      <c r="G37" s="6" t="s">
        <v>512</v>
      </c>
      <c r="H37" s="6" t="str">
        <f>IF(G37="", "", IF(ISNUMBER(_xlfn.XMATCH(G37, 'Champions Sheet'!H:H)), "Found in Master", "MISSING in Alicia's"))</f>
        <v>MISSING in Alicia's</v>
      </c>
      <c r="I37" s="6" t="str">
        <f>IF(G37="", "", IF(ISNUMBER(_xlfn.XMATCH(G37, 'State Google Tags on Account'!E:E)), "Found in Alicia API Pull", "MISSING in Alicia's API Pull"))</f>
        <v>Found in Alicia API Pull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idden="1">
      <c r="A38" s="8">
        <v>2.9589621E8</v>
      </c>
      <c r="B38" s="8">
        <v>4.87084052E8</v>
      </c>
      <c r="C38" s="6" t="s">
        <v>61</v>
      </c>
      <c r="D38" s="8">
        <v>3.31352235E8</v>
      </c>
      <c r="E38" s="6" t="s">
        <v>531</v>
      </c>
      <c r="F38" s="11" t="s">
        <v>532</v>
      </c>
      <c r="G38" s="6" t="s">
        <v>546</v>
      </c>
      <c r="H38" s="6" t="str">
        <f>IF(G38="", "", IF(ISNUMBER(_xlfn.XMATCH(G38, 'Champions Sheet'!H:H)), "Found in Master", "MISSING in Alicia's"))</f>
        <v>MISSING in Alicia's</v>
      </c>
      <c r="I38" s="6" t="str">
        <f>IF(G38="", "", IF(ISNUMBER(_xlfn.XMATCH(G38, 'State Google Tags on Account'!E:E)), "Found in Alicia API Pull", "MISSING in Alicia's API Pull"))</f>
        <v>Found in Alicia API Pull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idden="1">
      <c r="A39" s="8">
        <v>2.9589621E8</v>
      </c>
      <c r="B39" s="8">
        <v>4.50964503E8</v>
      </c>
      <c r="C39" s="6" t="s">
        <v>43</v>
      </c>
      <c r="D39" s="8">
        <v>3.31352235E8</v>
      </c>
      <c r="E39" s="6" t="s">
        <v>531</v>
      </c>
      <c r="F39" s="11" t="s">
        <v>532</v>
      </c>
      <c r="G39" s="6" t="s">
        <v>546</v>
      </c>
      <c r="H39" s="6" t="str">
        <f>IF(G39="", "", IF(ISNUMBER(_xlfn.XMATCH(G39, 'Champions Sheet'!H:H)), "Found in Master", "MISSING in Alicia's"))</f>
        <v>MISSING in Alicia's</v>
      </c>
      <c r="I39" s="6" t="str">
        <f>IF(G39="", "", IF(ISNUMBER(_xlfn.XMATCH(G39, 'State Google Tags on Account'!E:E)), "Found in Alicia API Pull", "MISSING in Alicia's API Pull"))</f>
        <v>Found in Alicia API Pull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idden="1">
      <c r="A40" s="8">
        <v>2.9589621E8</v>
      </c>
      <c r="B40" s="8">
        <v>4.50964503E8</v>
      </c>
      <c r="C40" s="6" t="s">
        <v>43</v>
      </c>
      <c r="D40" s="8">
        <v>3.82423941E8</v>
      </c>
      <c r="E40" s="6" t="s">
        <v>576</v>
      </c>
      <c r="F40" s="11" t="s">
        <v>578</v>
      </c>
      <c r="G40" s="6" t="s">
        <v>583</v>
      </c>
      <c r="H40" s="6" t="str">
        <f>IF(G40="", "", IF(ISNUMBER(_xlfn.XMATCH(G40, 'Champions Sheet'!H:H)), "Found in Master", "MISSING in Alicia's"))</f>
        <v>MISSING in Alicia's</v>
      </c>
      <c r="I40" s="6" t="str">
        <f>IF(G40="", "", IF(ISNUMBER(_xlfn.XMATCH(G40, 'State Google Tags on Account'!E:E)), "Found in Alicia API Pull", "MISSING in Alicia's API Pull"))</f>
        <v>Found in Alicia API Pull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idden="1">
      <c r="A41" s="8">
        <v>2.9589621E8</v>
      </c>
      <c r="B41" s="8">
        <v>4.82151148E8</v>
      </c>
      <c r="C41" s="6" t="s">
        <v>282</v>
      </c>
      <c r="D41" s="8">
        <v>3.92709157E8</v>
      </c>
      <c r="E41" s="6" t="s">
        <v>585</v>
      </c>
      <c r="F41" s="11" t="s">
        <v>586</v>
      </c>
      <c r="G41" s="6" t="s">
        <v>596</v>
      </c>
      <c r="H41" s="6" t="str">
        <f>IF(G41="", "", IF(ISNUMBER(_xlfn.XMATCH(G41, 'Champions Sheet'!H:H)), "Found in Master", "MISSING in Alicia's"))</f>
        <v>MISSING in Alicia's</v>
      </c>
      <c r="I41" s="6" t="str">
        <f>IF(G41="", "", IF(ISNUMBER(_xlfn.XMATCH(G41, 'State Google Tags on Account'!E:E)), "Found in Alicia API Pull", "MISSING in Alicia's API Pull"))</f>
        <v>Found in Alicia API Pull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idden="1">
      <c r="A42" s="8">
        <v>2.9589621E8</v>
      </c>
      <c r="B42" s="8">
        <v>4.50964503E8</v>
      </c>
      <c r="C42" s="6" t="s">
        <v>43</v>
      </c>
      <c r="D42" s="8">
        <v>3.92709157E8</v>
      </c>
      <c r="E42" s="6" t="s">
        <v>585</v>
      </c>
      <c r="F42" s="11" t="s">
        <v>586</v>
      </c>
      <c r="G42" s="6" t="s">
        <v>596</v>
      </c>
      <c r="H42" s="6" t="str">
        <f>IF(G42="", "", IF(ISNUMBER(_xlfn.XMATCH(G42, 'Champions Sheet'!H:H)), "Found in Master", "MISSING in Alicia's"))</f>
        <v>MISSING in Alicia's</v>
      </c>
      <c r="I42" s="6" t="str">
        <f>IF(G42="", "", IF(ISNUMBER(_xlfn.XMATCH(G42, 'State Google Tags on Account'!E:E)), "Found in Alicia API Pull", "MISSING in Alicia's API Pull"))</f>
        <v>Found in Alicia API Pull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idden="1">
      <c r="A43" s="8">
        <v>2.9589621E8</v>
      </c>
      <c r="B43" s="8">
        <v>4.87084052E8</v>
      </c>
      <c r="C43" s="6" t="s">
        <v>61</v>
      </c>
      <c r="D43" s="8">
        <v>3.31599825E8</v>
      </c>
      <c r="E43" s="6" t="s">
        <v>616</v>
      </c>
      <c r="F43" s="11" t="s">
        <v>617</v>
      </c>
      <c r="G43" s="6" t="s">
        <v>620</v>
      </c>
      <c r="H43" s="6" t="str">
        <f>IF(G43="", "", IF(ISNUMBER(_xlfn.XMATCH(G43, 'Champions Sheet'!H:H)), "Found in Master", "MISSING in Alicia's"))</f>
        <v>MISSING in Alicia's</v>
      </c>
      <c r="I43" s="6" t="str">
        <f>IF(G43="", "", IF(ISNUMBER(_xlfn.XMATCH(G43, 'State Google Tags on Account'!E:E)), "Found in Alicia API Pull", "MISSING in Alicia's API Pull"))</f>
        <v>Found in Alicia API Pull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idden="1">
      <c r="A44" s="8">
        <v>2.9589621E8</v>
      </c>
      <c r="B44" s="8">
        <v>4.50964503E8</v>
      </c>
      <c r="C44" s="6" t="s">
        <v>43</v>
      </c>
      <c r="D44" s="8">
        <v>3.31599825E8</v>
      </c>
      <c r="E44" s="6" t="s">
        <v>616</v>
      </c>
      <c r="F44" s="11" t="s">
        <v>617</v>
      </c>
      <c r="G44" s="6" t="s">
        <v>620</v>
      </c>
      <c r="H44" s="6" t="str">
        <f>IF(G44="", "", IF(ISNUMBER(_xlfn.XMATCH(G44, 'Champions Sheet'!H:H)), "Found in Master", "MISSING in Alicia's"))</f>
        <v>MISSING in Alicia's</v>
      </c>
      <c r="I44" s="6" t="str">
        <f>IF(G44="", "", IF(ISNUMBER(_xlfn.XMATCH(G44, 'State Google Tags on Account'!E:E)), "Found in Alicia API Pull", "MISSING in Alicia's API Pull"))</f>
        <v>Found in Alicia API Pull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idden="1">
      <c r="A45" s="8">
        <v>2.9589621E8</v>
      </c>
      <c r="B45" s="8">
        <v>4.87657823E8</v>
      </c>
      <c r="C45" s="6" t="s">
        <v>333</v>
      </c>
      <c r="D45" s="8">
        <v>3.61210791E8</v>
      </c>
      <c r="E45" s="6" t="s">
        <v>636</v>
      </c>
      <c r="F45" s="11" t="s">
        <v>637</v>
      </c>
      <c r="G45" s="6" t="s">
        <v>642</v>
      </c>
      <c r="H45" s="6" t="str">
        <f>IF(G45="", "", IF(ISNUMBER(_xlfn.XMATCH(G45, 'Champions Sheet'!H:H)), "Found in Master", "MISSING in Alicia's"))</f>
        <v>MISSING in Alicia's</v>
      </c>
      <c r="I45" s="6" t="str">
        <f>IF(G45="", "", IF(ISNUMBER(_xlfn.XMATCH(G45, 'State Google Tags on Account'!E:E)), "Found in Alicia API Pull", "MISSING in Alicia's API Pull"))</f>
        <v>Found in Alicia API Pull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idden="1">
      <c r="A46" s="8">
        <v>2.9589621E8</v>
      </c>
      <c r="B46" s="8">
        <v>4.50964503E8</v>
      </c>
      <c r="C46" s="6" t="s">
        <v>43</v>
      </c>
      <c r="D46" s="8">
        <v>3.61210791E8</v>
      </c>
      <c r="E46" s="6" t="s">
        <v>636</v>
      </c>
      <c r="F46" s="11" t="s">
        <v>637</v>
      </c>
      <c r="G46" s="6" t="s">
        <v>642</v>
      </c>
      <c r="H46" s="6" t="str">
        <f>IF(G46="", "", IF(ISNUMBER(_xlfn.XMATCH(G46, 'Champions Sheet'!H:H)), "Found in Master", "MISSING in Alicia's"))</f>
        <v>MISSING in Alicia's</v>
      </c>
      <c r="I46" s="6" t="str">
        <f>IF(G46="", "", IF(ISNUMBER(_xlfn.XMATCH(G46, 'State Google Tags on Account'!E:E)), "Found in Alicia API Pull", "MISSING in Alicia's API Pull"))</f>
        <v>Found in Alicia API Pull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idden="1">
      <c r="A47" s="8">
        <v>2.9589621E8</v>
      </c>
      <c r="B47" s="8">
        <v>4.87084052E8</v>
      </c>
      <c r="C47" s="6" t="s">
        <v>61</v>
      </c>
      <c r="D47" s="8">
        <v>3.74142951E8</v>
      </c>
      <c r="E47" s="6" t="s">
        <v>666</v>
      </c>
      <c r="F47" s="11" t="s">
        <v>668</v>
      </c>
      <c r="G47" s="6" t="s">
        <v>671</v>
      </c>
      <c r="H47" s="6" t="str">
        <f>IF(G47="", "", IF(ISNUMBER(_xlfn.XMATCH(G47, 'Champions Sheet'!H:H)), "Found in Master", "MISSING in Alicia's"))</f>
        <v>MISSING in Alicia's</v>
      </c>
      <c r="I47" s="6" t="str">
        <f>IF(G47="", "", IF(ISNUMBER(_xlfn.XMATCH(G47, 'State Google Tags on Account'!E:E)), "Found in Alicia API Pull", "MISSING in Alicia's API Pull"))</f>
        <v>Found in Alicia API Pull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idden="1">
      <c r="A48" s="8">
        <v>2.9589621E8</v>
      </c>
      <c r="B48" s="8">
        <v>4.50964503E8</v>
      </c>
      <c r="C48" s="6" t="s">
        <v>43</v>
      </c>
      <c r="D48" s="8">
        <v>3.74142951E8</v>
      </c>
      <c r="E48" s="6" t="s">
        <v>666</v>
      </c>
      <c r="F48" s="11" t="s">
        <v>668</v>
      </c>
      <c r="G48" s="6" t="s">
        <v>671</v>
      </c>
      <c r="H48" s="6" t="str">
        <f>IF(G48="", "", IF(ISNUMBER(_xlfn.XMATCH(G48, 'Champions Sheet'!H:H)), "Found in Master", "MISSING in Alicia's"))</f>
        <v>MISSING in Alicia's</v>
      </c>
      <c r="I48" s="6" t="str">
        <f>IF(G48="", "", IF(ISNUMBER(_xlfn.XMATCH(G48, 'State Google Tags on Account'!E:E)), "Found in Alicia API Pull", "MISSING in Alicia's API Pull"))</f>
        <v>Found in Alicia API Pull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idden="1">
      <c r="A49" s="8">
        <v>2.9589621E8</v>
      </c>
      <c r="B49" s="8">
        <v>4.87657823E8</v>
      </c>
      <c r="C49" s="6" t="s">
        <v>333</v>
      </c>
      <c r="D49" s="8">
        <v>4.37382748E8</v>
      </c>
      <c r="E49" s="6" t="s">
        <v>690</v>
      </c>
      <c r="F49" s="11" t="s">
        <v>691</v>
      </c>
      <c r="G49" s="6" t="s">
        <v>698</v>
      </c>
      <c r="H49" s="6" t="str">
        <f>IF(G49="", "", IF(ISNUMBER(_xlfn.XMATCH(G49, 'Champions Sheet'!H:H)), "Found in Master", "MISSING in Alicia's"))</f>
        <v>Found in Master</v>
      </c>
      <c r="I49" s="6" t="str">
        <f>IF(G49="", "", IF(ISNUMBER(_xlfn.XMATCH(G49, 'State Google Tags on Account'!E:E)), "Found in Alicia API Pull", "MISSING in Alicia's API Pull"))</f>
        <v>Found in Alicia API Pull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idden="1">
      <c r="A50" s="8">
        <v>2.9589621E8</v>
      </c>
      <c r="B50" s="8">
        <v>4.50964503E8</v>
      </c>
      <c r="C50" s="6" t="s">
        <v>43</v>
      </c>
      <c r="D50" s="8">
        <v>4.37382748E8</v>
      </c>
      <c r="E50" s="6" t="s">
        <v>690</v>
      </c>
      <c r="F50" s="11" t="s">
        <v>691</v>
      </c>
      <c r="G50" s="6" t="s">
        <v>698</v>
      </c>
      <c r="H50" s="6" t="str">
        <f>IF(G50="", "", IF(ISNUMBER(_xlfn.XMATCH(G50, 'Champions Sheet'!H:H)), "Found in Master", "MISSING in Alicia's"))</f>
        <v>Found in Master</v>
      </c>
      <c r="I50" s="6" t="str">
        <f>IF(G50="", "", IF(ISNUMBER(_xlfn.XMATCH(G50, 'State Google Tags on Account'!E:E)), "Found in Alicia API Pull", "MISSING in Alicia's API Pull"))</f>
        <v>Found in Alicia API Pull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idden="1">
      <c r="A51" s="8">
        <v>2.9589621E8</v>
      </c>
      <c r="B51" s="8">
        <v>4.50964503E8</v>
      </c>
      <c r="C51" s="6" t="s">
        <v>43</v>
      </c>
      <c r="D51" s="8">
        <v>3.81552973E8</v>
      </c>
      <c r="E51" s="6" t="s">
        <v>726</v>
      </c>
      <c r="F51" s="11" t="s">
        <v>727</v>
      </c>
      <c r="G51" s="6" t="s">
        <v>732</v>
      </c>
      <c r="H51" s="6" t="str">
        <f>IF(G51="", "", IF(ISNUMBER(_xlfn.XMATCH(G51, 'Champions Sheet'!H:H)), "Found in Master", "MISSING in Alicia's"))</f>
        <v>MISSING in Alicia's</v>
      </c>
      <c r="I51" s="6" t="str">
        <f>IF(G51="", "", IF(ISNUMBER(_xlfn.XMATCH(G51, 'State Google Tags on Account'!E:E)), "Found in Alicia API Pull", "MISSING in Alicia's API Pull"))</f>
        <v>Found in Alicia API Pull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idden="1">
      <c r="A52" s="8">
        <v>2.9589621E8</v>
      </c>
      <c r="B52" s="8">
        <v>4.87084052E8</v>
      </c>
      <c r="C52" s="6" t="s">
        <v>61</v>
      </c>
      <c r="D52" s="8">
        <v>3.31618006E8</v>
      </c>
      <c r="E52" s="6" t="s">
        <v>743</v>
      </c>
      <c r="F52" s="11" t="s">
        <v>745</v>
      </c>
      <c r="G52" s="6" t="s">
        <v>757</v>
      </c>
      <c r="H52" s="6" t="str">
        <f>IF(G52="", "", IF(ISNUMBER(_xlfn.XMATCH(G52, 'Champions Sheet'!H:H)), "Found in Master", "MISSING in Alicia's"))</f>
        <v>MISSING in Alicia's</v>
      </c>
      <c r="I52" s="6" t="str">
        <f>IF(G52="", "", IF(ISNUMBER(_xlfn.XMATCH(G52, 'State Google Tags on Account'!E:E)), "Found in Alicia API Pull", "MISSING in Alicia's API Pull"))</f>
        <v>Found in Alicia API Pull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idden="1">
      <c r="A53" s="8">
        <v>2.9589621E8</v>
      </c>
      <c r="B53" s="8">
        <v>4.88601532E8</v>
      </c>
      <c r="C53" s="6" t="s">
        <v>25</v>
      </c>
      <c r="D53" s="8">
        <v>3.31618006E8</v>
      </c>
      <c r="E53" s="6" t="s">
        <v>743</v>
      </c>
      <c r="F53" s="11" t="s">
        <v>745</v>
      </c>
      <c r="G53" s="6" t="s">
        <v>757</v>
      </c>
      <c r="H53" s="6" t="str">
        <f>IF(G53="", "", IF(ISNUMBER(_xlfn.XMATCH(G53, 'Champions Sheet'!H:H)), "Found in Master", "MISSING in Alicia's"))</f>
        <v>MISSING in Alicia's</v>
      </c>
      <c r="I53" s="6" t="str">
        <f>IF(G53="", "", IF(ISNUMBER(_xlfn.XMATCH(G53, 'State Google Tags on Account'!E:E)), "Found in Alicia API Pull", "MISSING in Alicia's API Pull"))</f>
        <v>Found in Alicia API Pull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idden="1">
      <c r="A54" s="8">
        <v>2.9589621E8</v>
      </c>
      <c r="B54" s="8">
        <v>4.83039742E8</v>
      </c>
      <c r="C54" s="6" t="s">
        <v>408</v>
      </c>
      <c r="D54" s="8">
        <v>3.6708287E8</v>
      </c>
      <c r="E54" s="6" t="s">
        <v>742</v>
      </c>
      <c r="F54" s="11" t="s">
        <v>740</v>
      </c>
      <c r="G54" s="6" t="s">
        <v>741</v>
      </c>
      <c r="H54" s="6" t="str">
        <f>IF(G54="", "", IF(ISNUMBER(_xlfn.XMATCH(G54, 'Champions Sheet'!H:H)), "Found in Master", "MISSING in Alicia's"))</f>
        <v>MISSING in Alicia's</v>
      </c>
      <c r="I54" s="6" t="str">
        <f>IF(G54="", "", IF(ISNUMBER(_xlfn.XMATCH(G54, 'State Google Tags on Account'!E:E)), "Found in Alicia API Pull", "MISSING in Alicia's API Pull"))</f>
        <v>Found in Alicia API Pull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idden="1">
      <c r="A55" s="8">
        <v>2.9589621E8</v>
      </c>
      <c r="B55" s="8">
        <v>4.50964503E8</v>
      </c>
      <c r="C55" s="6" t="s">
        <v>43</v>
      </c>
      <c r="D55" s="8">
        <v>3.6708287E8</v>
      </c>
      <c r="E55" s="6" t="s">
        <v>742</v>
      </c>
      <c r="F55" s="11" t="s">
        <v>740</v>
      </c>
      <c r="G55" s="6" t="s">
        <v>741</v>
      </c>
      <c r="H55" s="6" t="str">
        <f>IF(G55="", "", IF(ISNUMBER(_xlfn.XMATCH(G55, 'Champions Sheet'!H:H)), "Found in Master", "MISSING in Alicia's"))</f>
        <v>MISSING in Alicia's</v>
      </c>
      <c r="I55" s="6" t="str">
        <f>IF(G55="", "", IF(ISNUMBER(_xlfn.XMATCH(G55, 'State Google Tags on Account'!E:E)), "Found in Alicia API Pull", "MISSING in Alicia's API Pull"))</f>
        <v>Found in Alicia API Pull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idden="1">
      <c r="A56" s="8">
        <v>2.9589621E8</v>
      </c>
      <c r="B56" s="8">
        <v>4.82151148E8</v>
      </c>
      <c r="C56" s="6" t="s">
        <v>282</v>
      </c>
      <c r="D56" s="8">
        <v>3.54020635E8</v>
      </c>
      <c r="E56" s="6" t="s">
        <v>843</v>
      </c>
      <c r="F56" s="11" t="s">
        <v>846</v>
      </c>
      <c r="G56" s="6" t="s">
        <v>847</v>
      </c>
      <c r="H56" s="6" t="str">
        <f>IF(G56="", "", IF(ISNUMBER(_xlfn.XMATCH(G56, 'Champions Sheet'!H:H)), "Found in Master", "MISSING in Alicia's"))</f>
        <v>Found in Master</v>
      </c>
      <c r="I56" s="6" t="str">
        <f>IF(G56="", "", IF(ISNUMBER(_xlfn.XMATCH(G56, 'State Google Tags on Account'!E:E)), "Found in Alicia API Pull", "MISSING in Alicia's API Pull"))</f>
        <v>Found in Alicia API Pull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idden="1">
      <c r="A57" s="8">
        <v>2.9589621E8</v>
      </c>
      <c r="B57" s="8">
        <v>4.50964503E8</v>
      </c>
      <c r="C57" s="6" t="s">
        <v>43</v>
      </c>
      <c r="D57" s="8">
        <v>3.54020635E8</v>
      </c>
      <c r="E57" s="6" t="s">
        <v>843</v>
      </c>
      <c r="F57" s="11" t="s">
        <v>846</v>
      </c>
      <c r="G57" s="6" t="s">
        <v>847</v>
      </c>
      <c r="H57" s="6" t="str">
        <f>IF(G57="", "", IF(ISNUMBER(_xlfn.XMATCH(G57, 'Champions Sheet'!H:H)), "Found in Master", "MISSING in Alicia's"))</f>
        <v>Found in Master</v>
      </c>
      <c r="I57" s="6" t="str">
        <f>IF(G57="", "", IF(ISNUMBER(_xlfn.XMATCH(G57, 'State Google Tags on Account'!E:E)), "Found in Alicia API Pull", "MISSING in Alicia's API Pull"))</f>
        <v>Found in Alicia API Pull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idden="1">
      <c r="A58" s="8">
        <v>2.9589621E8</v>
      </c>
      <c r="B58" s="8">
        <v>4.82352716E8</v>
      </c>
      <c r="C58" s="6" t="s">
        <v>179</v>
      </c>
      <c r="D58" s="8">
        <v>3.46274765E8</v>
      </c>
      <c r="E58" s="6" t="s">
        <v>877</v>
      </c>
      <c r="F58" s="11" t="s">
        <v>878</v>
      </c>
      <c r="G58" s="6" t="s">
        <v>887</v>
      </c>
      <c r="H58" s="6" t="str">
        <f>IF(G58="", "", IF(ISNUMBER(_xlfn.XMATCH(G58, 'Champions Sheet'!H:H)), "Found in Master", "MISSING in Alicia's"))</f>
        <v>Found in Master</v>
      </c>
      <c r="I58" s="6" t="str">
        <f>IF(G58="", "", IF(ISNUMBER(_xlfn.XMATCH(G58, 'State Google Tags on Account'!E:E)), "Found in Alicia API Pull", "MISSING in Alicia's API Pull"))</f>
        <v>Found in Alicia API Pull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idden="1">
      <c r="A59" s="8">
        <v>2.9589621E8</v>
      </c>
      <c r="B59" s="8">
        <v>4.50964503E8</v>
      </c>
      <c r="C59" s="6" t="s">
        <v>43</v>
      </c>
      <c r="D59" s="8">
        <v>3.46274765E8</v>
      </c>
      <c r="E59" s="6" t="s">
        <v>877</v>
      </c>
      <c r="F59" s="11" t="s">
        <v>878</v>
      </c>
      <c r="G59" s="6" t="s">
        <v>887</v>
      </c>
      <c r="H59" s="6" t="str">
        <f>IF(G59="", "", IF(ISNUMBER(_xlfn.XMATCH(G59, 'Champions Sheet'!H:H)), "Found in Master", "MISSING in Alicia's"))</f>
        <v>Found in Master</v>
      </c>
      <c r="I59" s="6" t="str">
        <f>IF(G59="", "", IF(ISNUMBER(_xlfn.XMATCH(G59, 'State Google Tags on Account'!E:E)), "Found in Alicia API Pull", "MISSING in Alicia's API Pull"))</f>
        <v>Found in Alicia API Pull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idden="1">
      <c r="A60" s="8">
        <v>2.9589621E8</v>
      </c>
      <c r="B60" s="8">
        <v>4.82352716E8</v>
      </c>
      <c r="C60" s="6" t="s">
        <v>179</v>
      </c>
      <c r="D60" s="8">
        <v>3.46238059E8</v>
      </c>
      <c r="E60" s="6" t="s">
        <v>911</v>
      </c>
      <c r="F60" s="11" t="s">
        <v>912</v>
      </c>
      <c r="G60" s="6" t="s">
        <v>916</v>
      </c>
      <c r="H60" s="6" t="str">
        <f>IF(G60="", "", IF(ISNUMBER(_xlfn.XMATCH(G60, 'Champions Sheet'!H:H)), "Found in Master", "MISSING in Alicia's"))</f>
        <v>Found in Master</v>
      </c>
      <c r="I60" s="6" t="str">
        <f>IF(G60="", "", IF(ISNUMBER(_xlfn.XMATCH(G60, 'State Google Tags on Account'!E:E)), "Found in Alicia API Pull", "MISSING in Alicia's API Pull"))</f>
        <v>Found in Alicia API Pull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idden="1">
      <c r="A61" s="8">
        <v>2.9589621E8</v>
      </c>
      <c r="B61" s="8">
        <v>4.88601532E8</v>
      </c>
      <c r="C61" s="6" t="s">
        <v>25</v>
      </c>
      <c r="D61" s="8">
        <v>3.46238059E8</v>
      </c>
      <c r="E61" s="6" t="s">
        <v>911</v>
      </c>
      <c r="F61" s="11" t="s">
        <v>912</v>
      </c>
      <c r="G61" s="6" t="s">
        <v>916</v>
      </c>
      <c r="H61" s="6" t="str">
        <f>IF(G61="", "", IF(ISNUMBER(_xlfn.XMATCH(G61, 'Champions Sheet'!H:H)), "Found in Master", "MISSING in Alicia's"))</f>
        <v>Found in Master</v>
      </c>
      <c r="I61" s="6" t="str">
        <f>IF(G61="", "", IF(ISNUMBER(_xlfn.XMATCH(G61, 'State Google Tags on Account'!E:E)), "Found in Alicia API Pull", "MISSING in Alicia's API Pull"))</f>
        <v>Found in Alicia API Pull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idden="1">
      <c r="A62" s="8">
        <v>2.9589621E8</v>
      </c>
      <c r="B62" s="8">
        <v>4.82352716E8</v>
      </c>
      <c r="C62" s="6" t="s">
        <v>179</v>
      </c>
      <c r="D62" s="8">
        <v>3.46724523E8</v>
      </c>
      <c r="E62" s="6" t="s">
        <v>943</v>
      </c>
      <c r="F62" s="11" t="s">
        <v>945</v>
      </c>
      <c r="G62" s="6" t="s">
        <v>949</v>
      </c>
      <c r="H62" s="6" t="str">
        <f>IF(G62="", "", IF(ISNUMBER(_xlfn.XMATCH(G62, 'Champions Sheet'!H:H)), "Found in Master", "MISSING in Alicia's"))</f>
        <v>Found in Master</v>
      </c>
      <c r="I62" s="6" t="str">
        <f>IF(G62="", "", IF(ISNUMBER(_xlfn.XMATCH(G62, 'State Google Tags on Account'!E:E)), "Found in Alicia API Pull", "MISSING in Alicia's API Pull"))</f>
        <v>Found in Alicia API Pull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idden="1">
      <c r="A63" s="8">
        <v>2.9589621E8</v>
      </c>
      <c r="B63" s="8">
        <v>4.50964503E8</v>
      </c>
      <c r="C63" s="6" t="s">
        <v>43</v>
      </c>
      <c r="D63" s="8">
        <v>3.46724523E8</v>
      </c>
      <c r="E63" s="6" t="s">
        <v>943</v>
      </c>
      <c r="F63" s="11" t="s">
        <v>945</v>
      </c>
      <c r="G63" s="6" t="s">
        <v>949</v>
      </c>
      <c r="H63" s="6" t="str">
        <f>IF(G63="", "", IF(ISNUMBER(_xlfn.XMATCH(G63, 'Champions Sheet'!H:H)), "Found in Master", "MISSING in Alicia's"))</f>
        <v>Found in Master</v>
      </c>
      <c r="I63" s="6" t="str">
        <f>IF(G63="", "", IF(ISNUMBER(_xlfn.XMATCH(G63, 'State Google Tags on Account'!E:E)), "Found in Alicia API Pull", "MISSING in Alicia's API Pull"))</f>
        <v>Found in Alicia API Pull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idden="1">
      <c r="A64" s="8">
        <v>2.9589621E8</v>
      </c>
      <c r="B64" s="8">
        <v>4.50964503E8</v>
      </c>
      <c r="C64" s="6" t="s">
        <v>43</v>
      </c>
      <c r="D64" s="8">
        <v>3.81637422E8</v>
      </c>
      <c r="E64" s="6" t="s">
        <v>972</v>
      </c>
      <c r="F64" s="11" t="s">
        <v>973</v>
      </c>
      <c r="G64" s="6" t="s">
        <v>976</v>
      </c>
      <c r="H64" s="6" t="str">
        <f>IF(G64="", "", IF(ISNUMBER(_xlfn.XMATCH(G64, 'Champions Sheet'!H:H)), "Found in Master", "MISSING in Alicia's"))</f>
        <v>MISSING in Alicia's</v>
      </c>
      <c r="I64" s="6" t="str">
        <f>IF(G64="", "", IF(ISNUMBER(_xlfn.XMATCH(G64, 'State Google Tags on Account'!E:E)), "Found in Alicia API Pull", "MISSING in Alicia's API Pull"))</f>
        <v>Found in Alicia API Pull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idden="1">
      <c r="A65" s="8">
        <v>2.9589621E8</v>
      </c>
      <c r="B65" s="8">
        <v>4.50964503E8</v>
      </c>
      <c r="C65" s="6" t="s">
        <v>43</v>
      </c>
      <c r="D65" s="8">
        <v>3.46372605E8</v>
      </c>
      <c r="E65" s="6" t="s">
        <v>404</v>
      </c>
      <c r="F65" s="11" t="s">
        <v>402</v>
      </c>
      <c r="G65" s="6" t="s">
        <v>403</v>
      </c>
      <c r="H65" s="6" t="str">
        <f>IF(G65="", "", IF(ISNUMBER(_xlfn.XMATCH(G65, 'Champions Sheet'!H:H)), "Found in Master", "MISSING in Alicia's"))</f>
        <v>MISSING in Alicia's</v>
      </c>
      <c r="I65" s="6" t="str">
        <f>IF(G65="", "", IF(ISNUMBER(_xlfn.XMATCH(G65, 'State Google Tags on Account'!E:E)), "Found in Alicia API Pull", "MISSING in Alicia's API Pull"))</f>
        <v>Found in Alicia API Pull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idden="1">
      <c r="A66" s="8">
        <v>2.9589621E8</v>
      </c>
      <c r="B66" s="8">
        <v>4.50964503E8</v>
      </c>
      <c r="C66" s="6" t="s">
        <v>43</v>
      </c>
      <c r="D66" s="8">
        <v>3.15677951E8</v>
      </c>
      <c r="E66" s="6" t="s">
        <v>707</v>
      </c>
      <c r="F66" s="11" t="s">
        <v>713</v>
      </c>
      <c r="G66" s="6" t="s">
        <v>723</v>
      </c>
      <c r="H66" s="6" t="str">
        <f>IF(G66="", "", IF(ISNUMBER(_xlfn.XMATCH(G66, 'Champions Sheet'!H:H)), "Found in Master", "MISSING in Alicia's"))</f>
        <v>Found in Master</v>
      </c>
      <c r="I66" s="6" t="str">
        <f>IF(G66="", "", IF(ISNUMBER(_xlfn.XMATCH(G66, 'State Google Tags on Account'!E:E)), "Found in Alicia API Pull", "MISSING in Alicia's API Pull"))</f>
        <v>Found in Alicia API Pull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idden="1">
      <c r="A67" s="8">
        <v>2.9589621E8</v>
      </c>
      <c r="B67" s="8">
        <v>4.82352716E8</v>
      </c>
      <c r="C67" s="6" t="s">
        <v>179</v>
      </c>
      <c r="D67" s="8">
        <v>3.61048293E8</v>
      </c>
      <c r="E67" s="6" t="s">
        <v>1005</v>
      </c>
      <c r="F67" s="11" t="s">
        <v>1006</v>
      </c>
      <c r="G67" s="6" t="s">
        <v>1014</v>
      </c>
      <c r="H67" s="6" t="str">
        <f>IF(G67="", "", IF(ISNUMBER(_xlfn.XMATCH(G67, 'Champions Sheet'!H:H)), "Found in Master", "MISSING in Alicia's"))</f>
        <v>MISSING in Alicia's</v>
      </c>
      <c r="I67" s="6" t="str">
        <f>IF(G67="", "", IF(ISNUMBER(_xlfn.XMATCH(G67, 'State Google Tags on Account'!E:E)), "Found in Alicia API Pull", "MISSING in Alicia's API Pull"))</f>
        <v>Found in Alicia API Pull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idden="1">
      <c r="A68" s="8">
        <v>2.9589621E8</v>
      </c>
      <c r="B68" s="8">
        <v>4.50964503E8</v>
      </c>
      <c r="C68" s="6" t="s">
        <v>43</v>
      </c>
      <c r="D68" s="8">
        <v>3.61048293E8</v>
      </c>
      <c r="E68" s="6" t="s">
        <v>1005</v>
      </c>
      <c r="F68" s="11" t="s">
        <v>1006</v>
      </c>
      <c r="G68" s="6" t="s">
        <v>1014</v>
      </c>
      <c r="H68" s="6" t="str">
        <f>IF(G68="", "", IF(ISNUMBER(_xlfn.XMATCH(G68, 'Champions Sheet'!H:H)), "Found in Master", "MISSING in Alicia's"))</f>
        <v>MISSING in Alicia's</v>
      </c>
      <c r="I68" s="6" t="str">
        <f>IF(G68="", "", IF(ISNUMBER(_xlfn.XMATCH(G68, 'State Google Tags on Account'!E:E)), "Found in Alicia API Pull", "MISSING in Alicia's API Pull"))</f>
        <v>Found in Alicia API Pull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idden="1">
      <c r="A69" s="8">
        <v>2.9589621E8</v>
      </c>
      <c r="B69" s="8">
        <v>4.82151148E8</v>
      </c>
      <c r="C69" s="6" t="s">
        <v>282</v>
      </c>
      <c r="D69" s="8">
        <v>3.92112538E8</v>
      </c>
      <c r="E69" s="6" t="s">
        <v>1035</v>
      </c>
      <c r="F69" s="11" t="s">
        <v>1036</v>
      </c>
      <c r="G69" s="6" t="s">
        <v>1047</v>
      </c>
      <c r="H69" s="6" t="str">
        <f>IF(G69="", "", IF(ISNUMBER(_xlfn.XMATCH(G69, 'Champions Sheet'!H:H)), "Found in Master", "MISSING in Alicia's"))</f>
        <v>MISSING in Alicia's</v>
      </c>
      <c r="I69" s="6" t="str">
        <f>IF(G69="", "", IF(ISNUMBER(_xlfn.XMATCH(G69, 'State Google Tags on Account'!E:E)), "Found in Alicia API Pull", "MISSING in Alicia's API Pull"))</f>
        <v>Found in Alicia API Pull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idden="1">
      <c r="A70" s="8">
        <v>2.9589621E8</v>
      </c>
      <c r="B70" s="8">
        <v>4.50964503E8</v>
      </c>
      <c r="C70" s="6" t="s">
        <v>43</v>
      </c>
      <c r="D70" s="8">
        <v>3.92112538E8</v>
      </c>
      <c r="E70" s="6" t="s">
        <v>1035</v>
      </c>
      <c r="F70" s="11" t="s">
        <v>1036</v>
      </c>
      <c r="G70" s="6" t="s">
        <v>1047</v>
      </c>
      <c r="H70" s="6" t="str">
        <f>IF(G70="", "", IF(ISNUMBER(_xlfn.XMATCH(G70, 'Champions Sheet'!H:H)), "Found in Master", "MISSING in Alicia's"))</f>
        <v>MISSING in Alicia's</v>
      </c>
      <c r="I70" s="6" t="str">
        <f>IF(G70="", "", IF(ISNUMBER(_xlfn.XMATCH(G70, 'State Google Tags on Account'!E:E)), "Found in Alicia API Pull", "MISSING in Alicia's API Pull"))</f>
        <v>Found in Alicia API Pull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idden="1">
      <c r="A71" s="8">
        <v>2.9589621E8</v>
      </c>
      <c r="B71" s="8">
        <v>4.82151148E8</v>
      </c>
      <c r="C71" s="6" t="s">
        <v>282</v>
      </c>
      <c r="D71" s="8">
        <v>3.5556915E8</v>
      </c>
      <c r="E71" s="6" t="s">
        <v>1068</v>
      </c>
      <c r="F71" s="11" t="s">
        <v>1070</v>
      </c>
      <c r="G71" s="6" t="s">
        <v>1073</v>
      </c>
      <c r="H71" s="6" t="str">
        <f>IF(G71="", "", IF(ISNUMBER(_xlfn.XMATCH(G71, 'Champions Sheet'!H:H)), "Found in Master", "MISSING in Alicia's"))</f>
        <v>Found in Master</v>
      </c>
      <c r="I71" s="6" t="str">
        <f>IF(G71="", "", IF(ISNUMBER(_xlfn.XMATCH(G71, 'State Google Tags on Account'!E:E)), "Found in Alicia API Pull", "MISSING in Alicia's API Pull"))</f>
        <v>Found in Alicia API Pull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idden="1">
      <c r="A72" s="8">
        <v>2.9589621E8</v>
      </c>
      <c r="B72" s="8">
        <v>4.50964503E8</v>
      </c>
      <c r="C72" s="6" t="s">
        <v>43</v>
      </c>
      <c r="D72" s="8">
        <v>3.5556915E8</v>
      </c>
      <c r="E72" s="6" t="s">
        <v>1068</v>
      </c>
      <c r="F72" s="11" t="s">
        <v>1070</v>
      </c>
      <c r="G72" s="6" t="s">
        <v>1073</v>
      </c>
      <c r="H72" s="6" t="str">
        <f>IF(G72="", "", IF(ISNUMBER(_xlfn.XMATCH(G72, 'Champions Sheet'!H:H)), "Found in Master", "MISSING in Alicia's"))</f>
        <v>Found in Master</v>
      </c>
      <c r="I72" s="6" t="str">
        <f>IF(G72="", "", IF(ISNUMBER(_xlfn.XMATCH(G72, 'State Google Tags on Account'!E:E)), "Found in Alicia API Pull", "MISSING in Alicia's API Pull"))</f>
        <v>Found in Alicia API Pull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idden="1">
      <c r="A73" s="8">
        <v>2.9589621E8</v>
      </c>
      <c r="B73" s="8">
        <v>4.82151148E8</v>
      </c>
      <c r="C73" s="6" t="s">
        <v>282</v>
      </c>
      <c r="D73" s="8">
        <v>3.29448089E8</v>
      </c>
      <c r="E73" s="6" t="s">
        <v>1001</v>
      </c>
      <c r="F73" s="11" t="s">
        <v>1004</v>
      </c>
      <c r="G73" s="6" t="s">
        <v>1019</v>
      </c>
      <c r="H73" s="6" t="str">
        <f>IF(G73="", "", IF(ISNUMBER(_xlfn.XMATCH(G73, 'Champions Sheet'!H:H)), "Found in Master", "MISSING in Alicia's"))</f>
        <v>Found in Master</v>
      </c>
      <c r="I73" s="6" t="str">
        <f>IF(G73="", "", IF(ISNUMBER(_xlfn.XMATCH(G73, 'State Google Tags on Account'!E:E)), "Found in Alicia API Pull", "MISSING in Alicia's API Pull"))</f>
        <v>Found in Alicia API Pull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idden="1">
      <c r="A74" s="8">
        <v>2.9589621E8</v>
      </c>
      <c r="B74" s="8">
        <v>4.50964503E8</v>
      </c>
      <c r="C74" s="6" t="s">
        <v>43</v>
      </c>
      <c r="D74" s="8">
        <v>3.29448089E8</v>
      </c>
      <c r="E74" s="6" t="s">
        <v>1001</v>
      </c>
      <c r="F74" s="11" t="s">
        <v>1004</v>
      </c>
      <c r="G74" s="6" t="s">
        <v>1019</v>
      </c>
      <c r="H74" s="6" t="str">
        <f>IF(G74="", "", IF(ISNUMBER(_xlfn.XMATCH(G74, 'Champions Sheet'!H:H)), "Found in Master", "MISSING in Alicia's"))</f>
        <v>Found in Master</v>
      </c>
      <c r="I74" s="6" t="str">
        <f>IF(G74="", "", IF(ISNUMBER(_xlfn.XMATCH(G74, 'State Google Tags on Account'!E:E)), "Found in Alicia API Pull", "MISSING in Alicia's API Pull"))</f>
        <v>Found in Alicia API Pull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idden="1">
      <c r="A75" s="8">
        <v>2.9589621E8</v>
      </c>
      <c r="B75" s="8">
        <v>4.50964503E8</v>
      </c>
      <c r="C75" s="6" t="s">
        <v>43</v>
      </c>
      <c r="D75" s="8">
        <v>3.0483539E8</v>
      </c>
      <c r="E75" s="6" t="s">
        <v>551</v>
      </c>
      <c r="F75" s="11" t="s">
        <v>554</v>
      </c>
      <c r="G75" s="6" t="s">
        <v>561</v>
      </c>
      <c r="H75" s="6" t="str">
        <f>IF(G75="", "", IF(ISNUMBER(_xlfn.XMATCH(G75, 'Champions Sheet'!H:H)), "Found in Master", "MISSING in Alicia's"))</f>
        <v>MISSING in Alicia's</v>
      </c>
      <c r="I75" s="6" t="str">
        <f>IF(G75="", "", IF(ISNUMBER(_xlfn.XMATCH(G75, 'State Google Tags on Account'!E:E)), "Found in Alicia API Pull", "MISSING in Alicia's API Pull"))</f>
        <v>Found in Alicia API Pull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idden="1">
      <c r="A76" s="8">
        <v>2.9589621E8</v>
      </c>
      <c r="B76" s="8">
        <v>4.50964503E8</v>
      </c>
      <c r="C76" s="6" t="s">
        <v>43</v>
      </c>
      <c r="D76" s="8">
        <v>3.72895542E8</v>
      </c>
      <c r="E76" s="6" t="s">
        <v>1130</v>
      </c>
      <c r="F76" s="11" t="s">
        <v>1132</v>
      </c>
      <c r="G76" s="6" t="s">
        <v>1140</v>
      </c>
      <c r="H76" s="6" t="str">
        <f>IF(G76="", "", IF(ISNUMBER(_xlfn.XMATCH(G76, 'Champions Sheet'!H:H)), "Found in Master", "MISSING in Alicia's"))</f>
        <v>Found in Master</v>
      </c>
      <c r="I76" s="6" t="str">
        <f>IF(G76="", "", IF(ISNUMBER(_xlfn.XMATCH(G76, 'State Google Tags on Account'!E:E)), "Found in Alicia API Pull", "MISSING in Alicia's API Pull"))</f>
        <v>Found in Alicia API Pull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idden="1">
      <c r="A77" s="8">
        <v>2.9589621E8</v>
      </c>
      <c r="B77" s="8">
        <v>4.50964503E8</v>
      </c>
      <c r="C77" s="6" t="s">
        <v>43</v>
      </c>
      <c r="D77" s="8">
        <v>3.53141055E8</v>
      </c>
      <c r="E77" s="11" t="s">
        <v>1164</v>
      </c>
      <c r="F77" s="11" t="s">
        <v>1170</v>
      </c>
      <c r="G77" s="6" t="s">
        <v>1172</v>
      </c>
      <c r="H77" s="6" t="str">
        <f>IF(G77="", "", IF(ISNUMBER(_xlfn.XMATCH(G77, 'Champions Sheet'!H:H)), "Found in Master", "MISSING in Alicia's"))</f>
        <v>MISSING in Alicia's</v>
      </c>
      <c r="I77" s="6" t="str">
        <f>IF(G77="", "", IF(ISNUMBER(_xlfn.XMATCH(G77, 'State Google Tags on Account'!E:E)), "Found in Alicia API Pull", "MISSING in Alicia's API Pull"))</f>
        <v>Found in Alicia API Pull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idden="1">
      <c r="A78" s="8">
        <v>2.9589621E8</v>
      </c>
      <c r="B78" s="8">
        <v>4.82352716E8</v>
      </c>
      <c r="C78" s="6" t="s">
        <v>179</v>
      </c>
      <c r="D78" s="8">
        <v>4.57348846E8</v>
      </c>
      <c r="E78" s="6" t="s">
        <v>1034</v>
      </c>
      <c r="F78" s="11" t="s">
        <v>1032</v>
      </c>
      <c r="G78" s="6" t="s">
        <v>1033</v>
      </c>
      <c r="H78" s="6" t="str">
        <f>IF(G78="", "", IF(ISNUMBER(_xlfn.XMATCH(G78, 'Champions Sheet'!H:H)), "Found in Master", "MISSING in Alicia's"))</f>
        <v>MISSING in Alicia's</v>
      </c>
      <c r="I78" s="6" t="str">
        <f>IF(G78="", "", IF(ISNUMBER(_xlfn.XMATCH(G78, 'State Google Tags on Account'!E:E)), "Found in Alicia API Pull", "MISSING in Alicia's API Pull"))</f>
        <v>Found in Alicia API Pull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idden="1">
      <c r="A79" s="8">
        <v>2.9589621E8</v>
      </c>
      <c r="B79" s="8">
        <v>4.88601532E8</v>
      </c>
      <c r="C79" s="6" t="s">
        <v>25</v>
      </c>
      <c r="D79" s="8">
        <v>4.57348846E8</v>
      </c>
      <c r="E79" s="6" t="s">
        <v>1034</v>
      </c>
      <c r="F79" s="11" t="s">
        <v>1032</v>
      </c>
      <c r="G79" s="6" t="s">
        <v>1033</v>
      </c>
      <c r="H79" s="6" t="str">
        <f>IF(G79="", "", IF(ISNUMBER(_xlfn.XMATCH(G79, 'Champions Sheet'!H:H)), "Found in Master", "MISSING in Alicia's"))</f>
        <v>MISSING in Alicia's</v>
      </c>
      <c r="I79" s="6" t="str">
        <f>IF(G79="", "", IF(ISNUMBER(_xlfn.XMATCH(G79, 'State Google Tags on Account'!E:E)), "Found in Alicia API Pull", "MISSING in Alicia's API Pull"))</f>
        <v>Found in Alicia API Pull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idden="1">
      <c r="A80" s="8">
        <v>2.9589621E8</v>
      </c>
      <c r="B80" s="8">
        <v>4.50964503E8</v>
      </c>
      <c r="C80" s="6" t="s">
        <v>43</v>
      </c>
      <c r="D80" s="8">
        <v>3.20256624E8</v>
      </c>
      <c r="E80" s="6" t="s">
        <v>274</v>
      </c>
      <c r="F80" s="11" t="s">
        <v>835</v>
      </c>
      <c r="G80" s="6" t="s">
        <v>273</v>
      </c>
      <c r="H80" s="6" t="str">
        <f>IF(G80="", "", IF(ISNUMBER(_xlfn.XMATCH(G80, 'Champions Sheet'!H:H)), "Found in Master", "MISSING in Alicia's"))</f>
        <v>Found in Master</v>
      </c>
      <c r="I80" s="6" t="str">
        <f>IF(G80="", "", IF(ISNUMBER(_xlfn.XMATCH(G80, 'State Google Tags on Account'!E:E)), "Found in Alicia API Pull", "MISSING in Alicia's API Pull"))</f>
        <v>Found in Alicia API Pull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idden="1">
      <c r="A81" s="8">
        <v>2.9589621E8</v>
      </c>
      <c r="B81" s="8">
        <v>4.87084052E8</v>
      </c>
      <c r="C81" s="6" t="s">
        <v>61</v>
      </c>
      <c r="D81" s="8">
        <v>2.77811441E8</v>
      </c>
      <c r="E81" s="6" t="s">
        <v>246</v>
      </c>
      <c r="F81" s="11" t="s">
        <v>250</v>
      </c>
      <c r="G81" s="6" t="s">
        <v>259</v>
      </c>
      <c r="H81" s="6" t="str">
        <f>IF(G81="", "", IF(ISNUMBER(_xlfn.XMATCH(G81, 'Champions Sheet'!H:H)), "Found in Master", "MISSING in Alicia's"))</f>
        <v>MISSING in Alicia's</v>
      </c>
      <c r="I81" s="6" t="str">
        <f>IF(G81="", "", IF(ISNUMBER(_xlfn.XMATCH(G81, 'State Google Tags on Account'!E:E)), "Found in Alicia API Pull", "MISSING in Alicia's API Pull"))</f>
        <v>Found in Alicia API Pull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idden="1">
      <c r="A82" s="8">
        <v>2.9589621E8</v>
      </c>
      <c r="B82" s="8">
        <v>4.88601532E8</v>
      </c>
      <c r="C82" s="6" t="s">
        <v>25</v>
      </c>
      <c r="D82" s="8">
        <v>2.77811441E8</v>
      </c>
      <c r="E82" s="6" t="s">
        <v>246</v>
      </c>
      <c r="F82" s="11" t="s">
        <v>250</v>
      </c>
      <c r="G82" s="6" t="s">
        <v>259</v>
      </c>
      <c r="H82" s="6" t="str">
        <f>IF(G82="", "", IF(ISNUMBER(_xlfn.XMATCH(G82, 'Champions Sheet'!H:H)), "Found in Master", "MISSING in Alicia's"))</f>
        <v>MISSING in Alicia's</v>
      </c>
      <c r="I82" s="6" t="str">
        <f>IF(G82="", "", IF(ISNUMBER(_xlfn.XMATCH(G82, 'State Google Tags on Account'!E:E)), "Found in Alicia API Pull", "MISSING in Alicia's API Pull"))</f>
        <v>Found in Alicia API Pull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idden="1">
      <c r="A83" s="8">
        <v>2.9589621E8</v>
      </c>
      <c r="B83" s="8">
        <v>4.82352716E8</v>
      </c>
      <c r="C83" s="6" t="s">
        <v>179</v>
      </c>
      <c r="D83" s="8">
        <v>3.99125822E8</v>
      </c>
      <c r="E83" s="6" t="s">
        <v>873</v>
      </c>
      <c r="F83" s="11" t="s">
        <v>871</v>
      </c>
      <c r="G83" s="6" t="s">
        <v>872</v>
      </c>
      <c r="H83" s="6" t="str">
        <f>IF(G83="", "", IF(ISNUMBER(_xlfn.XMATCH(G83, 'Champions Sheet'!H:H)), "Found in Master", "MISSING in Alicia's"))</f>
        <v>MISSING in Alicia's</v>
      </c>
      <c r="I83" s="6" t="str">
        <f>IF(G83="", "", IF(ISNUMBER(_xlfn.XMATCH(G83, 'State Google Tags on Account'!E:E)), "Found in Alicia API Pull", "MISSING in Alicia's API Pull"))</f>
        <v>Found in Alicia API Pull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idden="1">
      <c r="A84" s="8">
        <v>2.9589621E8</v>
      </c>
      <c r="B84" s="8">
        <v>4.50964503E8</v>
      </c>
      <c r="C84" s="6" t="s">
        <v>43</v>
      </c>
      <c r="D84" s="8">
        <v>3.99125822E8</v>
      </c>
      <c r="E84" s="6" t="s">
        <v>873</v>
      </c>
      <c r="F84" s="11" t="s">
        <v>871</v>
      </c>
      <c r="G84" s="6" t="s">
        <v>872</v>
      </c>
      <c r="H84" s="6" t="str">
        <f>IF(G84="", "", IF(ISNUMBER(_xlfn.XMATCH(G84, 'Champions Sheet'!H:H)), "Found in Master", "MISSING in Alicia's"))</f>
        <v>MISSING in Alicia's</v>
      </c>
      <c r="I84" s="6" t="str">
        <f>IF(G84="", "", IF(ISNUMBER(_xlfn.XMATCH(G84, 'State Google Tags on Account'!E:E)), "Found in Alicia API Pull", "MISSING in Alicia's API Pull"))</f>
        <v>Found in Alicia API Pull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idden="1">
      <c r="A85" s="8">
        <v>2.9589621E8</v>
      </c>
      <c r="B85" s="8">
        <v>4.82352716E8</v>
      </c>
      <c r="C85" s="6" t="s">
        <v>179</v>
      </c>
      <c r="D85" s="8">
        <v>3.43470548E8</v>
      </c>
      <c r="E85" s="6" t="s">
        <v>884</v>
      </c>
      <c r="F85" s="11" t="s">
        <v>880</v>
      </c>
      <c r="G85" s="6" t="s">
        <v>883</v>
      </c>
      <c r="H85" s="6" t="str">
        <f>IF(G85="", "", IF(ISNUMBER(_xlfn.XMATCH(G85, 'Champions Sheet'!H:H)), "Found in Master", "MISSING in Alicia's"))</f>
        <v>Found in Master</v>
      </c>
      <c r="I85" s="6" t="str">
        <f>IF(G85="", "", IF(ISNUMBER(_xlfn.XMATCH(G85, 'State Google Tags on Account'!E:E)), "Found in Alicia API Pull", "MISSING in Alicia's API Pull"))</f>
        <v>Found in Alicia API Pull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idden="1">
      <c r="A86" s="8">
        <v>2.9589621E8</v>
      </c>
      <c r="B86" s="8">
        <v>4.88601532E8</v>
      </c>
      <c r="C86" s="6" t="s">
        <v>25</v>
      </c>
      <c r="D86" s="8">
        <v>3.43470548E8</v>
      </c>
      <c r="E86" s="6" t="s">
        <v>884</v>
      </c>
      <c r="F86" s="11" t="s">
        <v>880</v>
      </c>
      <c r="G86" s="6" t="s">
        <v>883</v>
      </c>
      <c r="H86" s="6" t="str">
        <f>IF(G86="", "", IF(ISNUMBER(_xlfn.XMATCH(G86, 'Champions Sheet'!H:H)), "Found in Master", "MISSING in Alicia's"))</f>
        <v>Found in Master</v>
      </c>
      <c r="I86" s="6" t="str">
        <f>IF(G86="", "", IF(ISNUMBER(_xlfn.XMATCH(G86, 'State Google Tags on Account'!E:E)), "Found in Alicia API Pull", "MISSING in Alicia's API Pull"))</f>
        <v>Found in Alicia API Pull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idden="1">
      <c r="A87" s="8">
        <v>2.9589621E8</v>
      </c>
      <c r="B87" s="8">
        <v>4.50964503E8</v>
      </c>
      <c r="C87" s="6" t="s">
        <v>43</v>
      </c>
      <c r="D87" s="8">
        <v>3.46241559E8</v>
      </c>
      <c r="E87" s="6" t="s">
        <v>347</v>
      </c>
      <c r="F87" s="11" t="s">
        <v>1355</v>
      </c>
      <c r="G87" s="6" t="s">
        <v>346</v>
      </c>
      <c r="H87" s="6" t="str">
        <f>IF(G87="", "", IF(ISNUMBER(_xlfn.XMATCH(G87, 'Champions Sheet'!H:H)), "Found in Master", "MISSING in Alicia's"))</f>
        <v>Found in Master</v>
      </c>
      <c r="I87" s="6" t="str">
        <f>IF(G87="", "", IF(ISNUMBER(_xlfn.XMATCH(G87, 'State Google Tags on Account'!E:E)), "Found in Alicia API Pull", "MISSING in Alicia's API Pull"))</f>
        <v>Found in Alicia API Pull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idden="1">
      <c r="A88" s="8">
        <v>2.9589621E8</v>
      </c>
      <c r="B88" s="8">
        <v>4.88601532E8</v>
      </c>
      <c r="C88" s="6" t="s">
        <v>25</v>
      </c>
      <c r="D88" s="8">
        <v>4.60607943E8</v>
      </c>
      <c r="E88" s="6" t="s">
        <v>384</v>
      </c>
      <c r="F88" s="11" t="s">
        <v>381</v>
      </c>
      <c r="G88" s="6" t="s">
        <v>383</v>
      </c>
      <c r="H88" s="6" t="str">
        <f>IF(G88="", "", IF(ISNUMBER(_xlfn.XMATCH(G88, 'Champions Sheet'!H:H)), "Found in Master", "MISSING in Alicia's"))</f>
        <v>MISSING in Alicia's</v>
      </c>
      <c r="I88" s="6" t="str">
        <f>IF(G88="", "", IF(ISNUMBER(_xlfn.XMATCH(G88, 'State Google Tags on Account'!E:E)), "Found in Alicia API Pull", "MISSING in Alicia's API Pull"))</f>
        <v>Found in Alicia API Pull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idden="1">
      <c r="A89" s="8">
        <v>2.9589621E8</v>
      </c>
      <c r="B89" s="8">
        <v>4.50964503E8</v>
      </c>
      <c r="C89" s="6" t="s">
        <v>43</v>
      </c>
      <c r="D89" s="8">
        <v>2.71285752E8</v>
      </c>
      <c r="E89" s="6" t="s">
        <v>180</v>
      </c>
      <c r="F89" s="11" t="s">
        <v>184</v>
      </c>
      <c r="G89" s="6" t="s">
        <v>186</v>
      </c>
      <c r="H89" s="6" t="str">
        <f>IF(G89="", "", IF(ISNUMBER(_xlfn.XMATCH(G89, 'Champions Sheet'!H:H)), "Found in Master", "MISSING in Alicia's"))</f>
        <v>MISSING in Alicia's</v>
      </c>
      <c r="I89" s="6" t="str">
        <f>IF(G89="", "", IF(ISNUMBER(_xlfn.XMATCH(G89, 'State Google Tags on Account'!E:E)), "Found in Alicia API Pull", "MISSING in Alicia's API Pull"))</f>
        <v>Found in Alicia API Pull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idden="1">
      <c r="A90" s="8">
        <v>2.9589621E8</v>
      </c>
      <c r="B90" s="8">
        <v>4.83012671E8</v>
      </c>
      <c r="C90" s="6" t="s">
        <v>462</v>
      </c>
      <c r="D90" s="8">
        <v>4.58409674E8</v>
      </c>
      <c r="E90" s="6" t="s">
        <v>110</v>
      </c>
      <c r="F90" s="11" t="s">
        <v>107</v>
      </c>
      <c r="G90" s="6" t="s">
        <v>109</v>
      </c>
      <c r="H90" s="6" t="str">
        <f>IF(G90="", "", IF(ISNUMBER(_xlfn.XMATCH(G90, 'Champions Sheet'!H:H)), "Found in Master", "MISSING in Alicia's"))</f>
        <v>MISSING in Alicia's</v>
      </c>
      <c r="I90" s="6" t="str">
        <f>IF(G90="", "", IF(ISNUMBER(_xlfn.XMATCH(G90, 'State Google Tags on Account'!E:E)), "Found in Alicia API Pull", "MISSING in Alicia's API Pull"))</f>
        <v>Found in Alicia API Pull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idden="1">
      <c r="A91" s="8">
        <v>2.9589621E8</v>
      </c>
      <c r="B91" s="8">
        <v>4.50964503E8</v>
      </c>
      <c r="C91" s="6" t="s">
        <v>43</v>
      </c>
      <c r="D91" s="8">
        <v>4.58409674E8</v>
      </c>
      <c r="E91" s="6" t="s">
        <v>110</v>
      </c>
      <c r="F91" s="11" t="s">
        <v>107</v>
      </c>
      <c r="G91" s="6" t="s">
        <v>109</v>
      </c>
      <c r="H91" s="6" t="str">
        <f>IF(G91="", "", IF(ISNUMBER(_xlfn.XMATCH(G91, 'Champions Sheet'!H:H)), "Found in Master", "MISSING in Alicia's"))</f>
        <v>MISSING in Alicia's</v>
      </c>
      <c r="I91" s="6" t="str">
        <f>IF(G91="", "", IF(ISNUMBER(_xlfn.XMATCH(G91, 'State Google Tags on Account'!E:E)), "Found in Alicia API Pull", "MISSING in Alicia's API Pull"))</f>
        <v>Found in Alicia API Pull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idden="1">
      <c r="A92" s="8">
        <v>2.9589621E8</v>
      </c>
      <c r="B92" s="8">
        <v>4.82352716E8</v>
      </c>
      <c r="C92" s="6" t="s">
        <v>179</v>
      </c>
      <c r="D92" s="8">
        <v>3.0873238E8</v>
      </c>
      <c r="E92" s="6" t="s">
        <v>605</v>
      </c>
      <c r="F92" s="11" t="s">
        <v>613</v>
      </c>
      <c r="G92" s="6" t="s">
        <v>619</v>
      </c>
      <c r="H92" s="6" t="str">
        <f>IF(G92="", "", IF(ISNUMBER(_xlfn.XMATCH(G92, 'Champions Sheet'!H:H)), "Found in Master", "MISSING in Alicia's"))</f>
        <v>MISSING in Alicia's</v>
      </c>
      <c r="I92" s="6" t="str">
        <f>IF(G92="", "", IF(ISNUMBER(_xlfn.XMATCH(G92, 'State Google Tags on Account'!E:E)), "Found in Alicia API Pull", "MISSING in Alicia's API Pull"))</f>
        <v>Found in Alicia API Pull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idden="1">
      <c r="A93" s="8">
        <v>2.9589621E8</v>
      </c>
      <c r="B93" s="8">
        <v>4.88601532E8</v>
      </c>
      <c r="C93" s="6" t="s">
        <v>25</v>
      </c>
      <c r="D93" s="8">
        <v>3.0873238E8</v>
      </c>
      <c r="E93" s="6" t="s">
        <v>605</v>
      </c>
      <c r="F93" s="11" t="s">
        <v>613</v>
      </c>
      <c r="G93" s="6" t="s">
        <v>619</v>
      </c>
      <c r="H93" s="6" t="str">
        <f>IF(G93="", "", IF(ISNUMBER(_xlfn.XMATCH(G93, 'Champions Sheet'!H:H)), "Found in Master", "MISSING in Alicia's"))</f>
        <v>MISSING in Alicia's</v>
      </c>
      <c r="I93" s="6" t="str">
        <f>IF(G93="", "", IF(ISNUMBER(_xlfn.XMATCH(G93, 'State Google Tags on Account'!E:E)), "Found in Alicia API Pull", "MISSING in Alicia's API Pull"))</f>
        <v>Found in Alicia API Pull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idden="1">
      <c r="A94" s="8">
        <v>2.9589621E8</v>
      </c>
      <c r="B94" s="8">
        <v>4.83039742E8</v>
      </c>
      <c r="C94" s="6" t="s">
        <v>408</v>
      </c>
      <c r="D94" s="8">
        <v>3.43057947E8</v>
      </c>
      <c r="E94" s="6" t="s">
        <v>560</v>
      </c>
      <c r="F94" s="11" t="s">
        <v>557</v>
      </c>
      <c r="G94" s="6" t="s">
        <v>562</v>
      </c>
      <c r="H94" s="6" t="str">
        <f>IF(G94="", "", IF(ISNUMBER(_xlfn.XMATCH(G94, 'Champions Sheet'!H:H)), "Found in Master", "MISSING in Alicia's"))</f>
        <v>MISSING in Alicia's</v>
      </c>
      <c r="I94" s="6" t="str">
        <f>IF(G94="", "", IF(ISNUMBER(_xlfn.XMATCH(G94, 'State Google Tags on Account'!E:E)), "Found in Alicia API Pull", "MISSING in Alicia's API Pull"))</f>
        <v>Found in Alicia API Pull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idden="1">
      <c r="A95" s="8">
        <v>2.9589621E8</v>
      </c>
      <c r="B95" s="8">
        <v>4.50964503E8</v>
      </c>
      <c r="C95" s="6" t="s">
        <v>43</v>
      </c>
      <c r="D95" s="8">
        <v>3.43057947E8</v>
      </c>
      <c r="E95" s="6" t="s">
        <v>560</v>
      </c>
      <c r="F95" s="11" t="s">
        <v>557</v>
      </c>
      <c r="G95" s="6" t="s">
        <v>562</v>
      </c>
      <c r="H95" s="6" t="str">
        <f>IF(G95="", "", IF(ISNUMBER(_xlfn.XMATCH(G95, 'Champions Sheet'!H:H)), "Found in Master", "MISSING in Alicia's"))</f>
        <v>MISSING in Alicia's</v>
      </c>
      <c r="I95" s="6" t="str">
        <f>IF(G95="", "", IF(ISNUMBER(_xlfn.XMATCH(G95, 'State Google Tags on Account'!E:E)), "Found in Alicia API Pull", "MISSING in Alicia's API Pull"))</f>
        <v>Found in Alicia API Pull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idden="1">
      <c r="A96" s="8">
        <v>2.9589621E8</v>
      </c>
      <c r="B96" s="8">
        <v>4.83012671E8</v>
      </c>
      <c r="C96" s="6" t="s">
        <v>462</v>
      </c>
      <c r="D96" s="8">
        <v>3.46136007E8</v>
      </c>
      <c r="E96" s="6" t="s">
        <v>55</v>
      </c>
      <c r="F96" s="11" t="s">
        <v>1361</v>
      </c>
      <c r="G96" s="6" t="s">
        <v>53</v>
      </c>
      <c r="H96" s="6" t="str">
        <f>IF(G96="", "", IF(ISNUMBER(_xlfn.XMATCH(G96, 'Champions Sheet'!H:H)), "Found in Master", "MISSING in Alicia's"))</f>
        <v>Found in Master</v>
      </c>
      <c r="I96" s="6" t="str">
        <f>IF(G96="", "", IF(ISNUMBER(_xlfn.XMATCH(G96, 'State Google Tags on Account'!E:E)), "Found in Alicia API Pull", "MISSING in Alicia's API Pull"))</f>
        <v>Found in Alicia API Pull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idden="1">
      <c r="A97" s="8">
        <v>2.9589621E8</v>
      </c>
      <c r="B97" s="8">
        <v>4.50964503E8</v>
      </c>
      <c r="C97" s="6" t="s">
        <v>43</v>
      </c>
      <c r="D97" s="8">
        <v>3.46136007E8</v>
      </c>
      <c r="E97" s="6" t="s">
        <v>55</v>
      </c>
      <c r="F97" s="11" t="s">
        <v>1361</v>
      </c>
      <c r="G97" s="6" t="s">
        <v>53</v>
      </c>
      <c r="H97" s="6" t="str">
        <f>IF(G97="", "", IF(ISNUMBER(_xlfn.XMATCH(G97, 'Champions Sheet'!H:H)), "Found in Master", "MISSING in Alicia's"))</f>
        <v>Found in Master</v>
      </c>
      <c r="I97" s="6" t="str">
        <f>IF(G97="", "", IF(ISNUMBER(_xlfn.XMATCH(G97, 'State Google Tags on Account'!E:E)), "Found in Alicia API Pull", "MISSING in Alicia's API Pull"))</f>
        <v>Found in Alicia API Pull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idden="1">
      <c r="A98" s="8">
        <v>2.9589621E8</v>
      </c>
      <c r="B98" s="8">
        <v>4.82352716E8</v>
      </c>
      <c r="C98" s="6" t="s">
        <v>179</v>
      </c>
      <c r="D98" s="8">
        <v>3.74029539E8</v>
      </c>
      <c r="E98" s="6" t="s">
        <v>939</v>
      </c>
      <c r="F98" s="11" t="s">
        <v>935</v>
      </c>
      <c r="G98" s="6" t="s">
        <v>938</v>
      </c>
      <c r="H98" s="6" t="str">
        <f>IF(G98="", "", IF(ISNUMBER(_xlfn.XMATCH(G98, 'Champions Sheet'!H:H)), "Found in Master", "MISSING in Alicia's"))</f>
        <v>MISSING in Alicia's</v>
      </c>
      <c r="I98" s="6" t="str">
        <f>IF(G98="", "", IF(ISNUMBER(_xlfn.XMATCH(G98, 'State Google Tags on Account'!E:E)), "Found in Alicia API Pull", "MISSING in Alicia's API Pull"))</f>
        <v>Found in Alicia API Pull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idden="1">
      <c r="A99" s="8">
        <v>2.9589621E8</v>
      </c>
      <c r="B99" s="8">
        <v>4.50964503E8</v>
      </c>
      <c r="C99" s="6" t="s">
        <v>43</v>
      </c>
      <c r="D99" s="8">
        <v>3.74029539E8</v>
      </c>
      <c r="E99" s="6" t="s">
        <v>939</v>
      </c>
      <c r="F99" s="11" t="s">
        <v>935</v>
      </c>
      <c r="G99" s="6" t="s">
        <v>938</v>
      </c>
      <c r="H99" s="6" t="str">
        <f>IF(G99="", "", IF(ISNUMBER(_xlfn.XMATCH(G99, 'Champions Sheet'!H:H)), "Found in Master", "MISSING in Alicia's"))</f>
        <v>MISSING in Alicia's</v>
      </c>
      <c r="I99" s="6" t="str">
        <f>IF(G99="", "", IF(ISNUMBER(_xlfn.XMATCH(G99, 'State Google Tags on Account'!E:E)), "Found in Alicia API Pull", "MISSING in Alicia's API Pull"))</f>
        <v>Found in Alicia API Pull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idden="1">
      <c r="A100" s="8">
        <v>2.9589621E8</v>
      </c>
      <c r="B100" s="8">
        <v>4.87657823E8</v>
      </c>
      <c r="C100" s="6" t="s">
        <v>333</v>
      </c>
      <c r="D100" s="8">
        <v>2.86426397E8</v>
      </c>
      <c r="E100" s="6" t="s">
        <v>326</v>
      </c>
      <c r="F100" s="11" t="s">
        <v>329</v>
      </c>
      <c r="G100" s="6" t="s">
        <v>330</v>
      </c>
      <c r="H100" s="6" t="str">
        <f>IF(G100="", "", IF(ISNUMBER(_xlfn.XMATCH(G100, 'Champions Sheet'!H:H)), "Found in Master", "MISSING in Alicia's"))</f>
        <v>MISSING in Alicia's</v>
      </c>
      <c r="I100" s="6" t="str">
        <f>IF(G100="", "", IF(ISNUMBER(_xlfn.XMATCH(G100, 'State Google Tags on Account'!E:E)), "Found in Alicia API Pull", "MISSING in Alicia's API Pull"))</f>
        <v>Found in Alicia API Pull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idden="1">
      <c r="A101" s="8">
        <v>2.9589621E8</v>
      </c>
      <c r="B101" s="8">
        <v>4.50964503E8</v>
      </c>
      <c r="C101" s="6" t="s">
        <v>43</v>
      </c>
      <c r="D101" s="8">
        <v>2.86426397E8</v>
      </c>
      <c r="E101" s="6" t="s">
        <v>326</v>
      </c>
      <c r="F101" s="11" t="s">
        <v>329</v>
      </c>
      <c r="G101" s="6" t="s">
        <v>330</v>
      </c>
      <c r="H101" s="6" t="str">
        <f>IF(G101="", "", IF(ISNUMBER(_xlfn.XMATCH(G101, 'Champions Sheet'!H:H)), "Found in Master", "MISSING in Alicia's"))</f>
        <v>MISSING in Alicia's</v>
      </c>
      <c r="I101" s="6" t="str">
        <f>IF(G101="", "", IF(ISNUMBER(_xlfn.XMATCH(G101, 'State Google Tags on Account'!E:E)), "Found in Alicia API Pull", "MISSING in Alicia's API Pull"))</f>
        <v>Found in Alicia API Pull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idden="1">
      <c r="A102" s="8">
        <v>2.9589621E8</v>
      </c>
      <c r="B102" s="8">
        <v>4.82352716E8</v>
      </c>
      <c r="C102" s="6" t="s">
        <v>179</v>
      </c>
      <c r="D102" s="8">
        <v>3.74618433E8</v>
      </c>
      <c r="E102" s="6" t="s">
        <v>925</v>
      </c>
      <c r="F102" s="11" t="s">
        <v>923</v>
      </c>
      <c r="G102" s="6" t="s">
        <v>924</v>
      </c>
      <c r="H102" s="6" t="str">
        <f>IF(G102="", "", IF(ISNUMBER(_xlfn.XMATCH(G102, 'Champions Sheet'!H:H)), "Found in Master", "MISSING in Alicia's"))</f>
        <v>MISSING in Alicia's</v>
      </c>
      <c r="I102" s="6" t="str">
        <f>IF(G102="", "", IF(ISNUMBER(_xlfn.XMATCH(G102, 'State Google Tags on Account'!E:E)), "Found in Alicia API Pull", "MISSING in Alicia's API Pull"))</f>
        <v>Found in Alicia API Pull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idden="1">
      <c r="A103" s="8">
        <v>2.9589621E8</v>
      </c>
      <c r="B103" s="8">
        <v>4.88601532E8</v>
      </c>
      <c r="C103" s="6" t="s">
        <v>25</v>
      </c>
      <c r="D103" s="8">
        <v>3.74618433E8</v>
      </c>
      <c r="E103" s="6" t="s">
        <v>925</v>
      </c>
      <c r="F103" s="11" t="s">
        <v>923</v>
      </c>
      <c r="G103" s="6" t="s">
        <v>924</v>
      </c>
      <c r="H103" s="6" t="str">
        <f>IF(G103="", "", IF(ISNUMBER(_xlfn.XMATCH(G103, 'Champions Sheet'!H:H)), "Found in Master", "MISSING in Alicia's"))</f>
        <v>MISSING in Alicia's</v>
      </c>
      <c r="I103" s="6" t="str">
        <f>IF(G103="", "", IF(ISNUMBER(_xlfn.XMATCH(G103, 'State Google Tags on Account'!E:E)), "Found in Alicia API Pull", "MISSING in Alicia's API Pull"))</f>
        <v>Found in Alicia API Pull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idden="1">
      <c r="A104" s="8">
        <v>2.9589621E8</v>
      </c>
      <c r="B104" s="8">
        <v>4.83012671E8</v>
      </c>
      <c r="C104" s="6" t="s">
        <v>462</v>
      </c>
      <c r="D104" s="8">
        <v>3.46161E8</v>
      </c>
      <c r="E104" s="6" t="s">
        <v>194</v>
      </c>
      <c r="F104" s="11" t="s">
        <v>192</v>
      </c>
      <c r="G104" s="6" t="s">
        <v>193</v>
      </c>
      <c r="H104" s="6" t="str">
        <f>IF(G104="", "", IF(ISNUMBER(_xlfn.XMATCH(G104, 'Champions Sheet'!H:H)), "Found in Master", "MISSING in Alicia's"))</f>
        <v>MISSING in Alicia's</v>
      </c>
      <c r="I104" s="6" t="str">
        <f>IF(G104="", "", IF(ISNUMBER(_xlfn.XMATCH(G104, 'State Google Tags on Account'!E:E)), "Found in Alicia API Pull", "MISSING in Alicia's API Pull"))</f>
        <v>Found in Alicia API Pull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idden="1">
      <c r="A105" s="8">
        <v>2.9589621E8</v>
      </c>
      <c r="B105" s="8">
        <v>4.50964503E8</v>
      </c>
      <c r="C105" s="6" t="s">
        <v>43</v>
      </c>
      <c r="D105" s="8">
        <v>3.46161E8</v>
      </c>
      <c r="E105" s="6" t="s">
        <v>194</v>
      </c>
      <c r="F105" s="11" t="s">
        <v>192</v>
      </c>
      <c r="G105" s="6" t="s">
        <v>193</v>
      </c>
      <c r="H105" s="6" t="str">
        <f>IF(G105="", "", IF(ISNUMBER(_xlfn.XMATCH(G105, 'Champions Sheet'!H:H)), "Found in Master", "MISSING in Alicia's"))</f>
        <v>MISSING in Alicia's</v>
      </c>
      <c r="I105" s="6" t="str">
        <f>IF(G105="", "", IF(ISNUMBER(_xlfn.XMATCH(G105, 'State Google Tags on Account'!E:E)), "Found in Alicia API Pull", "MISSING in Alicia's API Pull"))</f>
        <v>Found in Alicia API Pull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idden="1">
      <c r="A106" s="8">
        <v>2.9589621E8</v>
      </c>
      <c r="B106" s="8">
        <v>4.87084052E8</v>
      </c>
      <c r="C106" s="6" t="s">
        <v>61</v>
      </c>
      <c r="D106" s="8">
        <v>2.79127117E8</v>
      </c>
      <c r="E106" s="6" t="s">
        <v>265</v>
      </c>
      <c r="F106" s="11" t="s">
        <v>267</v>
      </c>
      <c r="G106" s="6" t="s">
        <v>275</v>
      </c>
      <c r="H106" s="6" t="str">
        <f>IF(G106="", "", IF(ISNUMBER(_xlfn.XMATCH(G106, 'Champions Sheet'!H:H)), "Found in Master", "MISSING in Alicia's"))</f>
        <v>MISSING in Alicia's</v>
      </c>
      <c r="I106" s="6" t="str">
        <f>IF(G106="", "", IF(ISNUMBER(_xlfn.XMATCH(G106, 'State Google Tags on Account'!E:E)), "Found in Alicia API Pull", "MISSING in Alicia's API Pull"))</f>
        <v>Found in Alicia API Pull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idden="1">
      <c r="A107" s="8">
        <v>2.9589621E8</v>
      </c>
      <c r="B107" s="8">
        <v>4.88601532E8</v>
      </c>
      <c r="C107" s="6" t="s">
        <v>25</v>
      </c>
      <c r="D107" s="8">
        <v>2.79127117E8</v>
      </c>
      <c r="E107" s="6" t="s">
        <v>265</v>
      </c>
      <c r="F107" s="11" t="s">
        <v>267</v>
      </c>
      <c r="G107" s="6" t="s">
        <v>275</v>
      </c>
      <c r="H107" s="6" t="str">
        <f>IF(G107="", "", IF(ISNUMBER(_xlfn.XMATCH(G107, 'Champions Sheet'!H:H)), "Found in Master", "MISSING in Alicia's"))</f>
        <v>MISSING in Alicia's</v>
      </c>
      <c r="I107" s="6" t="str">
        <f>IF(G107="", "", IF(ISNUMBER(_xlfn.XMATCH(G107, 'State Google Tags on Account'!E:E)), "Found in Alicia API Pull", "MISSING in Alicia's API Pull"))</f>
        <v>Found in Alicia API Pull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idden="1">
      <c r="A108" s="8">
        <v>2.9589621E8</v>
      </c>
      <c r="B108" s="8">
        <v>4.83012671E8</v>
      </c>
      <c r="C108" s="6" t="s">
        <v>462</v>
      </c>
      <c r="D108" s="8">
        <v>3.46161411E8</v>
      </c>
      <c r="E108" s="6" t="s">
        <v>200</v>
      </c>
      <c r="F108" s="11" t="s">
        <v>196</v>
      </c>
      <c r="G108" s="6" t="s">
        <v>197</v>
      </c>
      <c r="H108" s="6" t="str">
        <f>IF(G108="", "", IF(ISNUMBER(_xlfn.XMATCH(G108, 'Champions Sheet'!H:H)), "Found in Master", "MISSING in Alicia's"))</f>
        <v>MISSING in Alicia's</v>
      </c>
      <c r="I108" s="6" t="str">
        <f>IF(G108="", "", IF(ISNUMBER(_xlfn.XMATCH(G108, 'State Google Tags on Account'!E:E)), "Found in Alicia API Pull", "MISSING in Alicia's API Pull"))</f>
        <v>Found in Alicia API Pull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idden="1">
      <c r="A109" s="8">
        <v>2.9589621E8</v>
      </c>
      <c r="B109" s="8">
        <v>4.50964503E8</v>
      </c>
      <c r="C109" s="6" t="s">
        <v>43</v>
      </c>
      <c r="D109" s="8">
        <v>3.46161411E8</v>
      </c>
      <c r="E109" s="6" t="s">
        <v>200</v>
      </c>
      <c r="F109" s="11" t="s">
        <v>196</v>
      </c>
      <c r="G109" s="6" t="s">
        <v>197</v>
      </c>
      <c r="H109" s="6" t="str">
        <f>IF(G109="", "", IF(ISNUMBER(_xlfn.XMATCH(G109, 'Champions Sheet'!H:H)), "Found in Master", "MISSING in Alicia's"))</f>
        <v>MISSING in Alicia's</v>
      </c>
      <c r="I109" s="6" t="str">
        <f>IF(G109="", "", IF(ISNUMBER(_xlfn.XMATCH(G109, 'State Google Tags on Account'!E:E)), "Found in Alicia API Pull", "MISSING in Alicia's API Pull"))</f>
        <v>Found in Alicia API Pull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idden="1">
      <c r="A110" s="8">
        <v>2.9589621E8</v>
      </c>
      <c r="B110" s="8">
        <v>4.50964503E8</v>
      </c>
      <c r="C110" s="6" t="s">
        <v>43</v>
      </c>
      <c r="D110" s="8">
        <v>4.52050501E8</v>
      </c>
      <c r="E110" s="6" t="s">
        <v>42</v>
      </c>
      <c r="F110" s="11" t="s">
        <v>36</v>
      </c>
      <c r="G110" s="6" t="s">
        <v>40</v>
      </c>
      <c r="H110" s="6" t="str">
        <f>IF(G110="", "", IF(ISNUMBER(_xlfn.XMATCH(G110, 'Champions Sheet'!H:H)), "Found in Master", "MISSING in Alicia's"))</f>
        <v>Found in Master</v>
      </c>
      <c r="I110" s="6" t="str">
        <f>IF(G110="", "", IF(ISNUMBER(_xlfn.XMATCH(G110, 'State Google Tags on Account'!E:E)), "Found in Alicia API Pull", "MISSING in Alicia's API Pull"))</f>
        <v>Found in Alicia API Pull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idden="1">
      <c r="A111" s="8">
        <v>2.9589621E8</v>
      </c>
      <c r="B111" s="8">
        <v>4.50964503E8</v>
      </c>
      <c r="C111" s="6" t="s">
        <v>43</v>
      </c>
      <c r="D111" s="8">
        <v>3.03268414E8</v>
      </c>
      <c r="E111" s="6" t="s">
        <v>536</v>
      </c>
      <c r="F111" s="11" t="s">
        <v>538</v>
      </c>
      <c r="G111" s="6" t="s">
        <v>544</v>
      </c>
      <c r="H111" s="6" t="str">
        <f>IF(G111="", "", IF(ISNUMBER(_xlfn.XMATCH(G111, 'Champions Sheet'!H:H)), "Found in Master", "MISSING in Alicia's"))</f>
        <v>MISSING in Alicia's</v>
      </c>
      <c r="I111" s="6" t="str">
        <f>IF(G111="", "", IF(ISNUMBER(_xlfn.XMATCH(G111, 'State Google Tags on Account'!E:E)), "Found in Alicia API Pull", "MISSING in Alicia's API Pull"))</f>
        <v>Found in Alicia API Pull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idden="1">
      <c r="A112" s="8">
        <v>2.9589621E8</v>
      </c>
      <c r="B112" s="8">
        <v>4.50964503E8</v>
      </c>
      <c r="C112" s="6" t="s">
        <v>43</v>
      </c>
      <c r="D112" s="8">
        <v>3.36235916E8</v>
      </c>
      <c r="E112" s="6" t="s">
        <v>1227</v>
      </c>
      <c r="F112" s="11" t="s">
        <v>1231</v>
      </c>
      <c r="G112" s="6" t="s">
        <v>1237</v>
      </c>
      <c r="H112" s="6" t="str">
        <f>IF(G112="", "", IF(ISNUMBER(_xlfn.XMATCH(G112, 'Champions Sheet'!H:H)), "Found in Master", "MISSING in Alicia's"))</f>
        <v>Found in Master</v>
      </c>
      <c r="I112" s="6" t="str">
        <f>IF(G112="", "", IF(ISNUMBER(_xlfn.XMATCH(G112, 'State Google Tags on Account'!E:E)), "Found in Alicia API Pull", "MISSING in Alicia's API Pull"))</f>
        <v>Found in Alicia API Pull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idden="1">
      <c r="A113" s="8">
        <v>2.9589621E8</v>
      </c>
      <c r="B113" s="8">
        <v>4.82352716E8</v>
      </c>
      <c r="C113" s="6" t="s">
        <v>179</v>
      </c>
      <c r="D113" s="8">
        <v>3.47337589E8</v>
      </c>
      <c r="E113" s="6" t="s">
        <v>989</v>
      </c>
      <c r="F113" s="11" t="s">
        <v>852</v>
      </c>
      <c r="G113" s="6" t="s">
        <v>987</v>
      </c>
      <c r="H113" s="6" t="str">
        <f>IF(G113="", "", IF(ISNUMBER(_xlfn.XMATCH(G113, 'Champions Sheet'!H:H)), "Found in Master", "MISSING in Alicia's"))</f>
        <v>MISSING in Alicia's</v>
      </c>
      <c r="I113" s="6" t="str">
        <f>IF(G113="", "", IF(ISNUMBER(_xlfn.XMATCH(G113, 'State Google Tags on Account'!E:E)), "Found in Alicia API Pull", "MISSING in Alicia's API Pull"))</f>
        <v>Found in Alicia API Pull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idden="1">
      <c r="A114" s="8">
        <v>2.9589621E8</v>
      </c>
      <c r="B114" s="8">
        <v>4.50964503E8</v>
      </c>
      <c r="C114" s="6" t="s">
        <v>43</v>
      </c>
      <c r="D114" s="8">
        <v>3.47337589E8</v>
      </c>
      <c r="E114" s="6" t="s">
        <v>989</v>
      </c>
      <c r="F114" s="11" t="s">
        <v>852</v>
      </c>
      <c r="G114" s="6" t="s">
        <v>987</v>
      </c>
      <c r="H114" s="6" t="str">
        <f>IF(G114="", "", IF(ISNUMBER(_xlfn.XMATCH(G114, 'Champions Sheet'!H:H)), "Found in Master", "MISSING in Alicia's"))</f>
        <v>MISSING in Alicia's</v>
      </c>
      <c r="I114" s="6" t="str">
        <f>IF(G114="", "", IF(ISNUMBER(_xlfn.XMATCH(G114, 'State Google Tags on Account'!E:E)), "Found in Alicia API Pull", "MISSING in Alicia's API Pull"))</f>
        <v>Found in Alicia API Pull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idden="1">
      <c r="A115" s="8">
        <v>2.9589621E8</v>
      </c>
      <c r="B115" s="8">
        <v>4.82352716E8</v>
      </c>
      <c r="C115" s="6" t="s">
        <v>179</v>
      </c>
      <c r="D115" s="8">
        <v>3.46497515E8</v>
      </c>
      <c r="E115" s="6" t="s">
        <v>756</v>
      </c>
      <c r="F115" s="11" t="s">
        <v>753</v>
      </c>
      <c r="G115" s="6" t="s">
        <v>755</v>
      </c>
      <c r="H115" s="6" t="str">
        <f>IF(G115="", "", IF(ISNUMBER(_xlfn.XMATCH(G115, 'Champions Sheet'!H:H)), "Found in Master", "MISSING in Alicia's"))</f>
        <v>Found in Master</v>
      </c>
      <c r="I115" s="6" t="str">
        <f>IF(G115="", "", IF(ISNUMBER(_xlfn.XMATCH(G115, 'State Google Tags on Account'!E:E)), "Found in Alicia API Pull", "MISSING in Alicia's API Pull"))</f>
        <v>Found in Alicia API Pull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idden="1">
      <c r="A116" s="8">
        <v>2.9589621E8</v>
      </c>
      <c r="B116" s="8">
        <v>4.88601532E8</v>
      </c>
      <c r="C116" s="6" t="s">
        <v>25</v>
      </c>
      <c r="D116" s="8">
        <v>3.46497515E8</v>
      </c>
      <c r="E116" s="6" t="s">
        <v>756</v>
      </c>
      <c r="F116" s="11" t="s">
        <v>753</v>
      </c>
      <c r="G116" s="6" t="s">
        <v>755</v>
      </c>
      <c r="H116" s="6" t="str">
        <f>IF(G116="", "", IF(ISNUMBER(_xlfn.XMATCH(G116, 'Champions Sheet'!H:H)), "Found in Master", "MISSING in Alicia's"))</f>
        <v>Found in Master</v>
      </c>
      <c r="I116" s="6" t="str">
        <f>IF(G116="", "", IF(ISNUMBER(_xlfn.XMATCH(G116, 'State Google Tags on Account'!E:E)), "Found in Alicia API Pull", "MISSING in Alicia's API Pull"))</f>
        <v>Found in Alicia API Pull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idden="1">
      <c r="A117" s="8">
        <v>2.9589621E8</v>
      </c>
      <c r="B117" s="8">
        <v>4.82352716E8</v>
      </c>
      <c r="C117" s="6" t="s">
        <v>179</v>
      </c>
      <c r="D117" s="8">
        <v>3.37385726E8</v>
      </c>
      <c r="E117" s="6" t="s">
        <v>1242</v>
      </c>
      <c r="F117" s="11" t="s">
        <v>1244</v>
      </c>
      <c r="G117" s="6" t="s">
        <v>1249</v>
      </c>
      <c r="H117" s="6" t="str">
        <f>IF(G117="", "", IF(ISNUMBER(_xlfn.XMATCH(G117, 'Champions Sheet'!H:H)), "Found in Master", "MISSING in Alicia's"))</f>
        <v>MISSING in Alicia's</v>
      </c>
      <c r="I117" s="6" t="str">
        <f>IF(G117="", "", IF(ISNUMBER(_xlfn.XMATCH(G117, 'State Google Tags on Account'!E:E)), "Found in Alicia API Pull", "MISSING in Alicia's API Pull"))</f>
        <v>Found in Alicia API Pull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idden="1">
      <c r="A118" s="8">
        <v>2.9589621E8</v>
      </c>
      <c r="B118" s="8">
        <v>4.50964503E8</v>
      </c>
      <c r="C118" s="6" t="s">
        <v>43</v>
      </c>
      <c r="D118" s="8">
        <v>3.37385726E8</v>
      </c>
      <c r="E118" s="6" t="s">
        <v>1242</v>
      </c>
      <c r="F118" s="11" t="s">
        <v>1244</v>
      </c>
      <c r="G118" s="6" t="s">
        <v>1249</v>
      </c>
      <c r="H118" s="6" t="str">
        <f>IF(G118="", "", IF(ISNUMBER(_xlfn.XMATCH(G118, 'Champions Sheet'!H:H)), "Found in Master", "MISSING in Alicia's"))</f>
        <v>MISSING in Alicia's</v>
      </c>
      <c r="I118" s="6" t="str">
        <f>IF(G118="", "", IF(ISNUMBER(_xlfn.XMATCH(G118, 'State Google Tags on Account'!E:E)), "Found in Alicia API Pull", "MISSING in Alicia's API Pull"))</f>
        <v>Found in Alicia API Pull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idden="1">
      <c r="A119" s="8">
        <v>2.9589621E8</v>
      </c>
      <c r="B119" s="8">
        <v>4.82352716E8</v>
      </c>
      <c r="C119" s="6" t="s">
        <v>179</v>
      </c>
      <c r="D119" s="8">
        <v>3.46681873E8</v>
      </c>
      <c r="E119" s="6" t="s">
        <v>1048</v>
      </c>
      <c r="F119" s="11" t="s">
        <v>1044</v>
      </c>
      <c r="G119" s="6" t="s">
        <v>1046</v>
      </c>
      <c r="H119" s="6" t="str">
        <f>IF(G119="", "", IF(ISNUMBER(_xlfn.XMATCH(G119, 'Champions Sheet'!H:H)), "Found in Master", "MISSING in Alicia's"))</f>
        <v>MISSING in Alicia's</v>
      </c>
      <c r="I119" s="6" t="str">
        <f>IF(G119="", "", IF(ISNUMBER(_xlfn.XMATCH(G119, 'State Google Tags on Account'!E:E)), "Found in Alicia API Pull", "MISSING in Alicia's API Pull"))</f>
        <v>Found in Alicia API Pull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idden="1">
      <c r="A120" s="8">
        <v>2.9589621E8</v>
      </c>
      <c r="B120" s="8">
        <v>4.50964503E8</v>
      </c>
      <c r="C120" s="6" t="s">
        <v>43</v>
      </c>
      <c r="D120" s="8">
        <v>3.46681873E8</v>
      </c>
      <c r="E120" s="6" t="s">
        <v>1048</v>
      </c>
      <c r="F120" s="11" t="s">
        <v>1044</v>
      </c>
      <c r="G120" s="6" t="s">
        <v>1046</v>
      </c>
      <c r="H120" s="6" t="str">
        <f>IF(G120="", "", IF(ISNUMBER(_xlfn.XMATCH(G120, 'Champions Sheet'!H:H)), "Found in Master", "MISSING in Alicia's"))</f>
        <v>MISSING in Alicia's</v>
      </c>
      <c r="I120" s="6" t="str">
        <f>IF(G120="", "", IF(ISNUMBER(_xlfn.XMATCH(G120, 'State Google Tags on Account'!E:E)), "Found in Alicia API Pull", "MISSING in Alicia's API Pull"))</f>
        <v>Found in Alicia API Pull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idden="1">
      <c r="A121" s="8">
        <v>2.9589621E8</v>
      </c>
      <c r="B121" s="8">
        <v>4.82352716E8</v>
      </c>
      <c r="C121" s="6" t="s">
        <v>179</v>
      </c>
      <c r="D121" s="8">
        <v>4.56381518E8</v>
      </c>
      <c r="E121" s="6" t="s">
        <v>1057</v>
      </c>
      <c r="F121" s="11" t="s">
        <v>1050</v>
      </c>
      <c r="G121" s="6" t="s">
        <v>1055</v>
      </c>
      <c r="H121" s="6" t="str">
        <f>IF(G121="", "", IF(ISNUMBER(_xlfn.XMATCH(G121, 'Champions Sheet'!H:H)), "Found in Master", "MISSING in Alicia's"))</f>
        <v>MISSING in Alicia's</v>
      </c>
      <c r="I121" s="6" t="str">
        <f>IF(G121="", "", IF(ISNUMBER(_xlfn.XMATCH(G121, 'State Google Tags on Account'!E:E)), "Found in Alicia API Pull", "MISSING in Alicia's API Pull"))</f>
        <v>Found in Alicia API Pull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idden="1">
      <c r="A122" s="8">
        <v>2.9589621E8</v>
      </c>
      <c r="B122" s="8">
        <v>4.50964503E8</v>
      </c>
      <c r="C122" s="6" t="s">
        <v>43</v>
      </c>
      <c r="D122" s="8">
        <v>4.56381518E8</v>
      </c>
      <c r="E122" s="6" t="s">
        <v>1057</v>
      </c>
      <c r="F122" s="11" t="s">
        <v>1050</v>
      </c>
      <c r="G122" s="6" t="s">
        <v>1055</v>
      </c>
      <c r="H122" s="6" t="str">
        <f>IF(G122="", "", IF(ISNUMBER(_xlfn.XMATCH(G122, 'Champions Sheet'!H:H)), "Found in Master", "MISSING in Alicia's"))</f>
        <v>MISSING in Alicia's</v>
      </c>
      <c r="I122" s="6" t="str">
        <f>IF(G122="", "", IF(ISNUMBER(_xlfn.XMATCH(G122, 'State Google Tags on Account'!E:E)), "Found in Alicia API Pull", "MISSING in Alicia's API Pull"))</f>
        <v>Found in Alicia API Pull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idden="1">
      <c r="A123" s="8">
        <v>2.9589621E8</v>
      </c>
      <c r="B123" s="8">
        <v>4.87657823E8</v>
      </c>
      <c r="C123" s="6" t="s">
        <v>333</v>
      </c>
      <c r="D123" s="8">
        <v>3.76940287E8</v>
      </c>
      <c r="E123" s="6" t="s">
        <v>1572</v>
      </c>
      <c r="F123" s="11" t="s">
        <v>1570</v>
      </c>
      <c r="G123" s="6" t="s">
        <v>1571</v>
      </c>
      <c r="H123" s="6" t="str">
        <f>IF(G123="", "", IF(ISNUMBER(_xlfn.XMATCH(G123, 'Champions Sheet'!H:H)), "Found in Master", "MISSING in Alicia's"))</f>
        <v>MISSING in Alicia's</v>
      </c>
      <c r="I123" s="6" t="str">
        <f>IF(G123="", "", IF(ISNUMBER(_xlfn.XMATCH(G123, 'State Google Tags on Account'!E:E)), "Found in Alicia API Pull", "MISSING in Alicia's API Pull"))</f>
        <v>Found in Alicia API Pull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idden="1">
      <c r="A124" s="8">
        <v>2.9589621E8</v>
      </c>
      <c r="B124" s="8">
        <v>4.88601532E8</v>
      </c>
      <c r="C124" s="6" t="s">
        <v>25</v>
      </c>
      <c r="D124" s="8">
        <v>3.76940287E8</v>
      </c>
      <c r="E124" s="6" t="s">
        <v>1572</v>
      </c>
      <c r="F124" s="11" t="s">
        <v>1570</v>
      </c>
      <c r="G124" s="6" t="s">
        <v>1571</v>
      </c>
      <c r="H124" s="6" t="str">
        <f>IF(G124="", "", IF(ISNUMBER(_xlfn.XMATCH(G124, 'Champions Sheet'!H:H)), "Found in Master", "MISSING in Alicia's"))</f>
        <v>MISSING in Alicia's</v>
      </c>
      <c r="I124" s="6" t="str">
        <f>IF(G124="", "", IF(ISNUMBER(_xlfn.XMATCH(G124, 'State Google Tags on Account'!E:E)), "Found in Alicia API Pull", "MISSING in Alicia's API Pull"))</f>
        <v>Found in Alicia API Pull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idden="1">
      <c r="A125" s="8">
        <v>2.9589621E8</v>
      </c>
      <c r="B125" s="8">
        <v>4.83012671E8</v>
      </c>
      <c r="C125" s="6" t="s">
        <v>462</v>
      </c>
      <c r="D125" s="8">
        <v>2.72291754E8</v>
      </c>
      <c r="E125" s="6" t="s">
        <v>75</v>
      </c>
      <c r="F125" s="11" t="s">
        <v>203</v>
      </c>
      <c r="G125" s="6" t="s">
        <v>74</v>
      </c>
      <c r="H125" s="6" t="str">
        <f>IF(G125="", "", IF(ISNUMBER(_xlfn.XMATCH(G125, 'Champions Sheet'!H:H)), "Found in Master", "MISSING in Alicia's"))</f>
        <v>Found in Master</v>
      </c>
      <c r="I125" s="6" t="str">
        <f>IF(G125="", "", IF(ISNUMBER(_xlfn.XMATCH(G125, 'State Google Tags on Account'!E:E)), "Found in Alicia API Pull", "MISSING in Alicia's API Pull"))</f>
        <v>Found in Alicia API Pull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idden="1">
      <c r="A126" s="8">
        <v>2.9589621E8</v>
      </c>
      <c r="B126" s="8">
        <v>4.50964503E8</v>
      </c>
      <c r="C126" s="6" t="s">
        <v>43</v>
      </c>
      <c r="D126" s="8">
        <v>2.72291754E8</v>
      </c>
      <c r="E126" s="6" t="s">
        <v>75</v>
      </c>
      <c r="F126" s="11" t="s">
        <v>203</v>
      </c>
      <c r="G126" s="6" t="s">
        <v>74</v>
      </c>
      <c r="H126" s="6" t="str">
        <f>IF(G126="", "", IF(ISNUMBER(_xlfn.XMATCH(G126, 'Champions Sheet'!H:H)), "Found in Master", "MISSING in Alicia's"))</f>
        <v>Found in Master</v>
      </c>
      <c r="I126" s="6" t="str">
        <f>IF(G126="", "", IF(ISNUMBER(_xlfn.XMATCH(G126, 'State Google Tags on Account'!E:E)), "Found in Alicia API Pull", "MISSING in Alicia's API Pull"))</f>
        <v>Found in Alicia API Pull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idden="1">
      <c r="A127" s="8">
        <v>2.9589621E8</v>
      </c>
      <c r="B127" s="8">
        <v>4.88601532E8</v>
      </c>
      <c r="C127" s="6" t="s">
        <v>25</v>
      </c>
      <c r="D127" s="8">
        <v>4.96250154E8</v>
      </c>
      <c r="E127" s="6" t="s">
        <v>1702</v>
      </c>
      <c r="F127" s="11" t="s">
        <v>1767</v>
      </c>
      <c r="G127" s="6" t="s">
        <v>1701</v>
      </c>
      <c r="H127" s="6" t="str">
        <f>IF(G127="", "", IF(ISNUMBER(_xlfn.XMATCH(G127, 'Champions Sheet'!H:H)), "Found in Master", "MISSING in Alicia's"))</f>
        <v>Found in Master</v>
      </c>
      <c r="I127" s="6" t="str">
        <f>IF(G127="", "", IF(ISNUMBER(_xlfn.XMATCH(G127, 'State Google Tags on Account'!E:E)), "Found in Alicia API Pull", "MISSING in Alicia's API Pull"))</f>
        <v>Found in Alicia API Pull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idden="1">
      <c r="A128" s="8">
        <v>2.9589621E8</v>
      </c>
      <c r="B128" s="8">
        <v>4.50964503E8</v>
      </c>
      <c r="C128" s="6" t="s">
        <v>43</v>
      </c>
      <c r="D128" s="8">
        <v>4.83439432E8</v>
      </c>
      <c r="E128" s="6" t="s">
        <v>1776</v>
      </c>
      <c r="F128" s="11" t="s">
        <v>1777</v>
      </c>
      <c r="G128" s="6" t="s">
        <v>1782</v>
      </c>
      <c r="H128" s="6" t="str">
        <f>IF(G128="", "", IF(ISNUMBER(_xlfn.XMATCH(G128, 'Champions Sheet'!H:H)), "Found in Master", "MISSING in Alicia's"))</f>
        <v>MISSING in Alicia's</v>
      </c>
      <c r="I128" s="6" t="str">
        <f>IF(G128="", "", IF(ISNUMBER(_xlfn.XMATCH(G128, 'State Google Tags on Account'!E:E)), "Found in Alicia API Pull", "MISSING in Alicia's API Pull"))</f>
        <v>Found in Alicia API Pull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idden="1">
      <c r="A129" s="8">
        <v>2.9589621E8</v>
      </c>
      <c r="B129" s="8">
        <v>4.82352716E8</v>
      </c>
      <c r="C129" s="6" t="s">
        <v>179</v>
      </c>
      <c r="D129" s="8">
        <v>3.87718043E8</v>
      </c>
      <c r="E129" s="6" t="s">
        <v>844</v>
      </c>
      <c r="F129" s="11" t="s">
        <v>839</v>
      </c>
      <c r="G129" s="6" t="s">
        <v>841</v>
      </c>
      <c r="H129" s="6" t="str">
        <f>IF(G129="", "", IF(ISNUMBER(_xlfn.XMATCH(G129, 'Champions Sheet'!H:H)), "Found in Master", "MISSING in Alicia's"))</f>
        <v>MISSING in Alicia's</v>
      </c>
      <c r="I129" s="6" t="str">
        <f>IF(G129="", "", IF(ISNUMBER(_xlfn.XMATCH(G129, 'State Google Tags on Account'!E:E)), "Found in Alicia API Pull", "MISSING in Alicia's API Pull"))</f>
        <v>Found in Alicia API Pull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idden="1">
      <c r="A130" s="8">
        <v>2.9589621E8</v>
      </c>
      <c r="B130" s="8">
        <v>4.50964503E8</v>
      </c>
      <c r="C130" s="6" t="s">
        <v>43</v>
      </c>
      <c r="D130" s="8">
        <v>4.33289953E8</v>
      </c>
      <c r="E130" s="6" t="s">
        <v>1797</v>
      </c>
      <c r="F130" s="11" t="s">
        <v>1798</v>
      </c>
      <c r="G130" s="6" t="s">
        <v>1803</v>
      </c>
      <c r="H130" s="6" t="str">
        <f>IF(G130="", "", IF(ISNUMBER(_xlfn.XMATCH(G130, 'Champions Sheet'!H:H)), "Found in Master", "MISSING in Alicia's"))</f>
        <v>Found in Master</v>
      </c>
      <c r="I130" s="6" t="str">
        <f>IF(G130="", "", IF(ISNUMBER(_xlfn.XMATCH(G130, 'State Google Tags on Account'!E:E)), "Found in Alicia API Pull", "MISSING in Alicia's API Pull"))</f>
        <v>Found in Alicia API Pull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idden="1">
      <c r="A131" s="8">
        <v>2.9589621E8</v>
      </c>
      <c r="B131" s="8">
        <v>4.82352716E8</v>
      </c>
      <c r="C131" s="6" t="s">
        <v>179</v>
      </c>
      <c r="D131" s="8">
        <v>2.97561243E8</v>
      </c>
      <c r="E131" s="6" t="s">
        <v>495</v>
      </c>
      <c r="F131" s="11" t="s">
        <v>505</v>
      </c>
      <c r="G131" s="6" t="s">
        <v>518</v>
      </c>
      <c r="H131" s="6" t="str">
        <f>IF(G131="", "", IF(ISNUMBER(_xlfn.XMATCH(G131, 'Champions Sheet'!H:H)), "Found in Master", "MISSING in Alicia's"))</f>
        <v>MISSING in Alicia's</v>
      </c>
      <c r="I131" s="6" t="str">
        <f>IF(G131="", "", IF(ISNUMBER(_xlfn.XMATCH(G131, 'State Google Tags on Account'!E:E)), "Found in Alicia API Pull", "MISSING in Alicia's API Pull"))</f>
        <v>Found in Alicia API Pull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idden="1">
      <c r="A132" s="8">
        <v>2.9589621E8</v>
      </c>
      <c r="B132" s="8">
        <v>4.50964503E8</v>
      </c>
      <c r="C132" s="6" t="s">
        <v>43</v>
      </c>
      <c r="D132" s="8">
        <v>2.97561243E8</v>
      </c>
      <c r="E132" s="6" t="s">
        <v>495</v>
      </c>
      <c r="F132" s="11" t="s">
        <v>505</v>
      </c>
      <c r="G132" s="6" t="s">
        <v>518</v>
      </c>
      <c r="H132" s="6" t="str">
        <f>IF(G132="", "", IF(ISNUMBER(_xlfn.XMATCH(G132, 'Champions Sheet'!H:H)), "Found in Master", "MISSING in Alicia's"))</f>
        <v>MISSING in Alicia's</v>
      </c>
      <c r="I132" s="6" t="str">
        <f>IF(G132="", "", IF(ISNUMBER(_xlfn.XMATCH(G132, 'State Google Tags on Account'!E:E)), "Found in Alicia API Pull", "MISSING in Alicia's API Pull"))</f>
        <v>Found in Alicia API Pull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idden="1">
      <c r="A133" s="8">
        <v>2.9589621E8</v>
      </c>
      <c r="B133" s="8">
        <v>4.88601532E8</v>
      </c>
      <c r="C133" s="6" t="s">
        <v>25</v>
      </c>
      <c r="D133" s="8">
        <v>2.91918131E8</v>
      </c>
      <c r="E133" s="6" t="s">
        <v>344</v>
      </c>
      <c r="F133" s="11" t="s">
        <v>345</v>
      </c>
      <c r="G133" s="6" t="s">
        <v>349</v>
      </c>
      <c r="H133" s="6" t="str">
        <f>IF(G133="", "", IF(ISNUMBER(_xlfn.XMATCH(G133, 'Champions Sheet'!H:H)), "Found in Master", "MISSING in Alicia's"))</f>
        <v>MISSING in Alicia's</v>
      </c>
      <c r="I133" s="6" t="str">
        <f>IF(G133="", "", IF(ISNUMBER(_xlfn.XMATCH(G133, 'State Google Tags on Account'!E:E)), "Found in Alicia API Pull", "MISSING in Alicia's API Pull"))</f>
        <v>Found in Alicia API Pull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idden="1">
      <c r="A134" s="8">
        <v>2.9589621E8</v>
      </c>
      <c r="B134" s="8">
        <v>4.88601532E8</v>
      </c>
      <c r="C134" s="6" t="s">
        <v>25</v>
      </c>
      <c r="D134" s="8">
        <v>4.10722436E8</v>
      </c>
      <c r="E134" s="6" t="s">
        <v>323</v>
      </c>
      <c r="F134" s="11" t="s">
        <v>321</v>
      </c>
      <c r="G134" s="6" t="s">
        <v>322</v>
      </c>
      <c r="H134" s="6" t="str">
        <f>IF(G134="", "", IF(ISNUMBER(_xlfn.XMATCH(G134, 'Champions Sheet'!H:H)), "Found in Master", "MISSING in Alicia's"))</f>
        <v>MISSING in Alicia's</v>
      </c>
      <c r="I134" s="6" t="str">
        <f>IF(G134="", "", IF(ISNUMBER(_xlfn.XMATCH(G134, 'State Google Tags on Account'!E:E)), "Found in Alicia API Pull", "MISSING in Alicia's API Pull"))</f>
        <v>Found in Alicia API Pull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idden="1">
      <c r="A135" s="8">
        <v>2.9589621E8</v>
      </c>
      <c r="B135" s="8">
        <v>4.82352716E8</v>
      </c>
      <c r="C135" s="6" t="s">
        <v>179</v>
      </c>
      <c r="D135" s="8">
        <v>4.05784525E8</v>
      </c>
      <c r="E135" s="6" t="s">
        <v>703</v>
      </c>
      <c r="F135" s="11" t="s">
        <v>700</v>
      </c>
      <c r="G135" s="6" t="s">
        <v>702</v>
      </c>
      <c r="H135" s="6" t="str">
        <f>IF(G135="", "", IF(ISNUMBER(_xlfn.XMATCH(G135, 'Champions Sheet'!H:H)), "Found in Master", "MISSING in Alicia's"))</f>
        <v>Found in Master</v>
      </c>
      <c r="I135" s="6" t="str">
        <f>IF(G135="", "", IF(ISNUMBER(_xlfn.XMATCH(G135, 'State Google Tags on Account'!E:E)), "Found in Alicia API Pull", "MISSING in Alicia's API Pull"))</f>
        <v>Found in Alicia API Pull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idden="1">
      <c r="A136" s="8">
        <v>2.9589621E8</v>
      </c>
      <c r="B136" s="8">
        <v>4.50964503E8</v>
      </c>
      <c r="C136" s="6" t="s">
        <v>43</v>
      </c>
      <c r="D136" s="8">
        <v>4.05784525E8</v>
      </c>
      <c r="E136" s="6" t="s">
        <v>703</v>
      </c>
      <c r="F136" s="11" t="s">
        <v>700</v>
      </c>
      <c r="G136" s="6" t="s">
        <v>702</v>
      </c>
      <c r="H136" s="6" t="str">
        <f>IF(G136="", "", IF(ISNUMBER(_xlfn.XMATCH(G136, 'Champions Sheet'!H:H)), "Found in Master", "MISSING in Alicia's"))</f>
        <v>Found in Master</v>
      </c>
      <c r="I136" s="6" t="str">
        <f>IF(G136="", "", IF(ISNUMBER(_xlfn.XMATCH(G136, 'State Google Tags on Account'!E:E)), "Found in Alicia API Pull", "MISSING in Alicia's API Pull"))</f>
        <v>Found in Alicia API Pull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idden="1">
      <c r="A137" s="8">
        <v>2.9589621E8</v>
      </c>
      <c r="B137" s="8">
        <v>4.50964503E8</v>
      </c>
      <c r="C137" s="6" t="s">
        <v>43</v>
      </c>
      <c r="D137" s="8">
        <v>2.72372086E8</v>
      </c>
      <c r="E137" s="6" t="s">
        <v>224</v>
      </c>
      <c r="F137" s="11" t="s">
        <v>226</v>
      </c>
      <c r="G137" s="6" t="s">
        <v>237</v>
      </c>
      <c r="H137" s="6" t="str">
        <f>IF(G137="", "", IF(ISNUMBER(_xlfn.XMATCH(G137, 'Champions Sheet'!H:H)), "Found in Master", "MISSING in Alicia's"))</f>
        <v>Found in Master</v>
      </c>
      <c r="I137" s="6" t="str">
        <f>IF(G137="", "", IF(ISNUMBER(_xlfn.XMATCH(G137, 'State Google Tags on Account'!E:E)), "Found in Alicia API Pull", "MISSING in Alicia's API Pull"))</f>
        <v>Found in Alicia API Pull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idden="1">
      <c r="A138" s="8">
        <v>2.9589621E8</v>
      </c>
      <c r="B138" s="8">
        <v>4.87084052E8</v>
      </c>
      <c r="C138" s="6" t="s">
        <v>61</v>
      </c>
      <c r="D138" s="8">
        <v>3.75649177E8</v>
      </c>
      <c r="E138" s="6" t="s">
        <v>1427</v>
      </c>
      <c r="F138" s="11" t="s">
        <v>1424</v>
      </c>
      <c r="G138" s="6" t="s">
        <v>1426</v>
      </c>
      <c r="H138" s="6" t="str">
        <f>IF(G138="", "", IF(ISNUMBER(_xlfn.XMATCH(G138, 'Champions Sheet'!H:H)), "Found in Master", "MISSING in Alicia's"))</f>
        <v>MISSING in Alicia's</v>
      </c>
      <c r="I138" s="6" t="str">
        <f>IF(G138="", "", IF(ISNUMBER(_xlfn.XMATCH(G138, 'State Google Tags on Account'!E:E)), "Found in Alicia API Pull", "MISSING in Alicia's API Pull"))</f>
        <v>Found in Alicia API Pull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idden="1">
      <c r="A139" s="8">
        <v>2.9589621E8</v>
      </c>
      <c r="B139" s="8">
        <v>4.50964503E8</v>
      </c>
      <c r="C139" s="6" t="s">
        <v>43</v>
      </c>
      <c r="D139" s="8">
        <v>3.75649177E8</v>
      </c>
      <c r="E139" s="6" t="s">
        <v>1427</v>
      </c>
      <c r="F139" s="11" t="s">
        <v>1424</v>
      </c>
      <c r="G139" s="6" t="s">
        <v>1426</v>
      </c>
      <c r="H139" s="6" t="str">
        <f>IF(G139="", "", IF(ISNUMBER(_xlfn.XMATCH(G139, 'Champions Sheet'!H:H)), "Found in Master", "MISSING in Alicia's"))</f>
        <v>MISSING in Alicia's</v>
      </c>
      <c r="I139" s="6" t="str">
        <f>IF(G139="", "", IF(ISNUMBER(_xlfn.XMATCH(G139, 'State Google Tags on Account'!E:E)), "Found in Alicia API Pull", "MISSING in Alicia's API Pull"))</f>
        <v>Found in Alicia API Pull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idden="1">
      <c r="A140" s="8">
        <v>2.9589621E8</v>
      </c>
      <c r="B140" s="8">
        <v>4.87084052E8</v>
      </c>
      <c r="C140" s="6" t="s">
        <v>61</v>
      </c>
      <c r="D140" s="8">
        <v>3.75662306E8</v>
      </c>
      <c r="E140" s="6" t="s">
        <v>1432</v>
      </c>
      <c r="F140" s="11" t="s">
        <v>1430</v>
      </c>
      <c r="G140" s="6" t="s">
        <v>1431</v>
      </c>
      <c r="H140" s="6" t="str">
        <f>IF(G140="", "", IF(ISNUMBER(_xlfn.XMATCH(G140, 'Champions Sheet'!H:H)), "Found in Master", "MISSING in Alicia's"))</f>
        <v>MISSING in Alicia's</v>
      </c>
      <c r="I140" s="6" t="str">
        <f>IF(G140="", "", IF(ISNUMBER(_xlfn.XMATCH(G140, 'State Google Tags on Account'!E:E)), "Found in Alicia API Pull", "MISSING in Alicia's API Pull"))</f>
        <v>Found in Alicia API Pull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idden="1">
      <c r="A141" s="8">
        <v>2.9589621E8</v>
      </c>
      <c r="B141" s="8">
        <v>4.50964503E8</v>
      </c>
      <c r="C141" s="6" t="s">
        <v>43</v>
      </c>
      <c r="D141" s="8">
        <v>3.75662306E8</v>
      </c>
      <c r="E141" s="6" t="s">
        <v>1432</v>
      </c>
      <c r="F141" s="11" t="s">
        <v>1430</v>
      </c>
      <c r="G141" s="6" t="s">
        <v>1431</v>
      </c>
      <c r="H141" s="6" t="str">
        <f>IF(G141="", "", IF(ISNUMBER(_xlfn.XMATCH(G141, 'Champions Sheet'!H:H)), "Found in Master", "MISSING in Alicia's"))</f>
        <v>MISSING in Alicia's</v>
      </c>
      <c r="I141" s="6" t="str">
        <f>IF(G141="", "", IF(ISNUMBER(_xlfn.XMATCH(G141, 'State Google Tags on Account'!E:E)), "Found in Alicia API Pull", "MISSING in Alicia's API Pull"))</f>
        <v>Found in Alicia API Pull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idden="1">
      <c r="A142" s="8">
        <v>2.9589621E8</v>
      </c>
      <c r="B142" s="8">
        <v>4.87084052E8</v>
      </c>
      <c r="C142" s="6" t="s">
        <v>61</v>
      </c>
      <c r="D142" s="8">
        <v>3.75650795E8</v>
      </c>
      <c r="E142" s="6" t="s">
        <v>1459</v>
      </c>
      <c r="F142" s="11" t="s">
        <v>1457</v>
      </c>
      <c r="G142" s="6" t="s">
        <v>1458</v>
      </c>
      <c r="H142" s="6" t="str">
        <f>IF(G142="", "", IF(ISNUMBER(_xlfn.XMATCH(G142, 'Champions Sheet'!H:H)), "Found in Master", "MISSING in Alicia's"))</f>
        <v>MISSING in Alicia's</v>
      </c>
      <c r="I142" s="6" t="str">
        <f>IF(G142="", "", IF(ISNUMBER(_xlfn.XMATCH(G142, 'State Google Tags on Account'!E:E)), "Found in Alicia API Pull", "MISSING in Alicia's API Pull"))</f>
        <v>Found in Alicia API Pull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idden="1">
      <c r="A143" s="8">
        <v>2.9589621E8</v>
      </c>
      <c r="B143" s="8">
        <v>4.50964503E8</v>
      </c>
      <c r="C143" s="6" t="s">
        <v>43</v>
      </c>
      <c r="D143" s="8">
        <v>3.75650795E8</v>
      </c>
      <c r="E143" s="6" t="s">
        <v>1459</v>
      </c>
      <c r="F143" s="11" t="s">
        <v>1457</v>
      </c>
      <c r="G143" s="6" t="s">
        <v>1458</v>
      </c>
      <c r="H143" s="6" t="str">
        <f>IF(G143="", "", IF(ISNUMBER(_xlfn.XMATCH(G143, 'Champions Sheet'!H:H)), "Found in Master", "MISSING in Alicia's"))</f>
        <v>MISSING in Alicia's</v>
      </c>
      <c r="I143" s="6" t="str">
        <f>IF(G143="", "", IF(ISNUMBER(_xlfn.XMATCH(G143, 'State Google Tags on Account'!E:E)), "Found in Alicia API Pull", "MISSING in Alicia's API Pull"))</f>
        <v>Found in Alicia API Pull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idden="1">
      <c r="A144" s="8">
        <v>2.9589621E8</v>
      </c>
      <c r="B144" s="8">
        <v>4.87084052E8</v>
      </c>
      <c r="C144" s="6" t="s">
        <v>61</v>
      </c>
      <c r="D144" s="8">
        <v>3.7565071E8</v>
      </c>
      <c r="E144" s="6" t="s">
        <v>1497</v>
      </c>
      <c r="F144" s="11" t="s">
        <v>1495</v>
      </c>
      <c r="G144" s="6" t="s">
        <v>1496</v>
      </c>
      <c r="H144" s="6" t="str">
        <f>IF(G144="", "", IF(ISNUMBER(_xlfn.XMATCH(G144, 'Champions Sheet'!H:H)), "Found in Master", "MISSING in Alicia's"))</f>
        <v>MISSING in Alicia's</v>
      </c>
      <c r="I144" s="6" t="str">
        <f>IF(G144="", "", IF(ISNUMBER(_xlfn.XMATCH(G144, 'State Google Tags on Account'!E:E)), "Found in Alicia API Pull", "MISSING in Alicia's API Pull"))</f>
        <v>Found in Alicia API Pull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idden="1">
      <c r="A145" s="8">
        <v>2.9589621E8</v>
      </c>
      <c r="B145" s="8">
        <v>4.88601532E8</v>
      </c>
      <c r="C145" s="6" t="s">
        <v>25</v>
      </c>
      <c r="D145" s="8">
        <v>3.7565071E8</v>
      </c>
      <c r="E145" s="6" t="s">
        <v>1497</v>
      </c>
      <c r="F145" s="11" t="s">
        <v>1495</v>
      </c>
      <c r="G145" s="6" t="s">
        <v>1496</v>
      </c>
      <c r="H145" s="6" t="str">
        <f>IF(G145="", "", IF(ISNUMBER(_xlfn.XMATCH(G145, 'Champions Sheet'!H:H)), "Found in Master", "MISSING in Alicia's"))</f>
        <v>MISSING in Alicia's</v>
      </c>
      <c r="I145" s="6" t="str">
        <f>IF(G145="", "", IF(ISNUMBER(_xlfn.XMATCH(G145, 'State Google Tags on Account'!E:E)), "Found in Alicia API Pull", "MISSING in Alicia's API Pull"))</f>
        <v>Found in Alicia API Pull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idden="1">
      <c r="A146" s="8">
        <v>2.9589621E8</v>
      </c>
      <c r="B146" s="8">
        <v>4.82352716E8</v>
      </c>
      <c r="C146" s="6" t="s">
        <v>179</v>
      </c>
      <c r="D146" s="8">
        <v>3.46746786E8</v>
      </c>
      <c r="E146" s="6" t="s">
        <v>711</v>
      </c>
      <c r="F146" s="11" t="s">
        <v>708</v>
      </c>
      <c r="G146" s="6" t="s">
        <v>710</v>
      </c>
      <c r="H146" s="6" t="str">
        <f>IF(G146="", "", IF(ISNUMBER(_xlfn.XMATCH(G146, 'Champions Sheet'!H:H)), "Found in Master", "MISSING in Alicia's"))</f>
        <v>Found in Master</v>
      </c>
      <c r="I146" s="6" t="str">
        <f>IF(G146="", "", IF(ISNUMBER(_xlfn.XMATCH(G146, 'State Google Tags on Account'!E:E)), "Found in Alicia API Pull", "MISSING in Alicia's API Pull"))</f>
        <v>Found in Alicia API Pull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idden="1">
      <c r="A147" s="8">
        <v>2.9589621E8</v>
      </c>
      <c r="B147" s="8">
        <v>4.50964503E8</v>
      </c>
      <c r="C147" s="6" t="s">
        <v>43</v>
      </c>
      <c r="D147" s="8">
        <v>3.46746786E8</v>
      </c>
      <c r="E147" s="6" t="s">
        <v>711</v>
      </c>
      <c r="F147" s="11" t="s">
        <v>708</v>
      </c>
      <c r="G147" s="6" t="s">
        <v>710</v>
      </c>
      <c r="H147" s="6" t="str">
        <f>IF(G147="", "", IF(ISNUMBER(_xlfn.XMATCH(G147, 'Champions Sheet'!H:H)), "Found in Master", "MISSING in Alicia's"))</f>
        <v>Found in Master</v>
      </c>
      <c r="I147" s="6" t="str">
        <f>IF(G147="", "", IF(ISNUMBER(_xlfn.XMATCH(G147, 'State Google Tags on Account'!E:E)), "Found in Alicia API Pull", "MISSING in Alicia's API Pull"))</f>
        <v>Found in Alicia API Pull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idden="1">
      <c r="A148" s="8">
        <v>2.9589621E8</v>
      </c>
      <c r="B148" s="8">
        <v>4.87084052E8</v>
      </c>
      <c r="C148" s="6" t="s">
        <v>61</v>
      </c>
      <c r="D148" s="8">
        <v>3.31596422E8</v>
      </c>
      <c r="E148" s="6" t="s">
        <v>1112</v>
      </c>
      <c r="F148" s="11" t="s">
        <v>1114</v>
      </c>
      <c r="G148" s="6" t="s">
        <v>1127</v>
      </c>
      <c r="H148" s="6" t="str">
        <f>IF(G148="", "", IF(ISNUMBER(_xlfn.XMATCH(G148, 'Champions Sheet'!H:H)), "Found in Master", "MISSING in Alicia's"))</f>
        <v>MISSING in Alicia's</v>
      </c>
      <c r="I148" s="6" t="str">
        <f>IF(G148="", "", IF(ISNUMBER(_xlfn.XMATCH(G148, 'State Google Tags on Account'!E:E)), "Found in Alicia API Pull", "MISSING in Alicia's API Pull"))</f>
        <v>Found in Alicia API Pull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idden="1">
      <c r="A149" s="8">
        <v>2.9589621E8</v>
      </c>
      <c r="B149" s="8">
        <v>4.88601532E8</v>
      </c>
      <c r="C149" s="6" t="s">
        <v>25</v>
      </c>
      <c r="D149" s="8">
        <v>3.31596422E8</v>
      </c>
      <c r="E149" s="6" t="s">
        <v>1112</v>
      </c>
      <c r="F149" s="11" t="s">
        <v>1114</v>
      </c>
      <c r="G149" s="6" t="s">
        <v>1127</v>
      </c>
      <c r="H149" s="6" t="str">
        <f>IF(G149="", "", IF(ISNUMBER(_xlfn.XMATCH(G149, 'Champions Sheet'!H:H)), "Found in Master", "MISSING in Alicia's"))</f>
        <v>MISSING in Alicia's</v>
      </c>
      <c r="I149" s="6" t="str">
        <f>IF(G149="", "", IF(ISNUMBER(_xlfn.XMATCH(G149, 'State Google Tags on Account'!E:E)), "Found in Alicia API Pull", "MISSING in Alicia's API Pull"))</f>
        <v>Found in Alicia API Pull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idden="1">
      <c r="A150" s="8">
        <v>2.9589621E8</v>
      </c>
      <c r="B150" s="8">
        <v>4.87657823E8</v>
      </c>
      <c r="C150" s="6" t="s">
        <v>333</v>
      </c>
      <c r="D150" s="8">
        <v>3.81647037E8</v>
      </c>
      <c r="E150" s="6" t="s">
        <v>1224</v>
      </c>
      <c r="F150" s="11" t="s">
        <v>1278</v>
      </c>
      <c r="G150" s="6" t="s">
        <v>1568</v>
      </c>
      <c r="H150" s="6" t="str">
        <f>IF(G150="", "", IF(ISNUMBER(_xlfn.XMATCH(G150, 'Champions Sheet'!H:H)), "Found in Master", "MISSING in Alicia's"))</f>
        <v>MISSING in Alicia's</v>
      </c>
      <c r="I150" s="6" t="str">
        <f>IF(G150="", "", IF(ISNUMBER(_xlfn.XMATCH(G150, 'State Google Tags on Account'!E:E)), "Found in Alicia API Pull", "MISSING in Alicia's API Pull"))</f>
        <v>Found in Alicia API Pull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idden="1">
      <c r="A151" s="8">
        <v>2.9589621E8</v>
      </c>
      <c r="B151" s="8">
        <v>4.50964503E8</v>
      </c>
      <c r="C151" s="6" t="s">
        <v>43</v>
      </c>
      <c r="D151" s="8">
        <v>3.81647037E8</v>
      </c>
      <c r="E151" s="6" t="s">
        <v>1224</v>
      </c>
      <c r="F151" s="11" t="s">
        <v>1278</v>
      </c>
      <c r="G151" s="6" t="s">
        <v>1568</v>
      </c>
      <c r="H151" s="6" t="str">
        <f>IF(G151="", "", IF(ISNUMBER(_xlfn.XMATCH(G151, 'Champions Sheet'!H:H)), "Found in Master", "MISSING in Alicia's"))</f>
        <v>MISSING in Alicia's</v>
      </c>
      <c r="I151" s="6" t="str">
        <f>IF(G151="", "", IF(ISNUMBER(_xlfn.XMATCH(G151, 'State Google Tags on Account'!E:E)), "Found in Alicia API Pull", "MISSING in Alicia's API Pull"))</f>
        <v>Found in Alicia API Pull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idden="1">
      <c r="A152" s="8">
        <v>2.9589621E8</v>
      </c>
      <c r="B152" s="8">
        <v>4.82352716E8</v>
      </c>
      <c r="C152" s="6" t="s">
        <v>179</v>
      </c>
      <c r="D152" s="8">
        <v>4.27846912E8</v>
      </c>
      <c r="E152" s="6" t="s">
        <v>857</v>
      </c>
      <c r="F152" s="11" t="s">
        <v>851</v>
      </c>
      <c r="G152" s="6" t="s">
        <v>854</v>
      </c>
      <c r="H152" s="6" t="str">
        <f>IF(G152="", "", IF(ISNUMBER(_xlfn.XMATCH(G152, 'Champions Sheet'!H:H)), "Found in Master", "MISSING in Alicia's"))</f>
        <v>MISSING in Alicia's</v>
      </c>
      <c r="I152" s="6" t="str">
        <f>IF(G152="", "", IF(ISNUMBER(_xlfn.XMATCH(G152, 'State Google Tags on Account'!E:E)), "Found in Alicia API Pull", "MISSING in Alicia's API Pull"))</f>
        <v>Found in Alicia API Pull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idden="1">
      <c r="A153" s="8">
        <v>2.9589621E8</v>
      </c>
      <c r="B153" s="8">
        <v>4.88601532E8</v>
      </c>
      <c r="C153" s="6" t="s">
        <v>25</v>
      </c>
      <c r="D153" s="8">
        <v>4.27846912E8</v>
      </c>
      <c r="E153" s="6" t="s">
        <v>857</v>
      </c>
      <c r="F153" s="11" t="s">
        <v>851</v>
      </c>
      <c r="G153" s="6" t="s">
        <v>854</v>
      </c>
      <c r="H153" s="6" t="str">
        <f>IF(G153="", "", IF(ISNUMBER(_xlfn.XMATCH(G153, 'Champions Sheet'!H:H)), "Found in Master", "MISSING in Alicia's"))</f>
        <v>MISSING in Alicia's</v>
      </c>
      <c r="I153" s="6" t="str">
        <f>IF(G153="", "", IF(ISNUMBER(_xlfn.XMATCH(G153, 'State Google Tags on Account'!E:E)), "Found in Alicia API Pull", "MISSING in Alicia's API Pull"))</f>
        <v>Found in Alicia API Pull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idden="1">
      <c r="A154" s="8">
        <v>2.9589621E8</v>
      </c>
      <c r="B154" s="8">
        <v>4.50964503E8</v>
      </c>
      <c r="C154" s="6" t="s">
        <v>43</v>
      </c>
      <c r="D154" s="8">
        <v>2.70736262E8</v>
      </c>
      <c r="E154" s="6" t="s">
        <v>156</v>
      </c>
      <c r="F154" s="11" t="s">
        <v>158</v>
      </c>
      <c r="G154" s="6" t="s">
        <v>168</v>
      </c>
      <c r="H154" s="6" t="str">
        <f>IF(G154="", "", IF(ISNUMBER(_xlfn.XMATCH(G154, 'Champions Sheet'!H:H)), "Found in Master", "MISSING in Alicia's"))</f>
        <v>Found in Master</v>
      </c>
      <c r="I154" s="6" t="str">
        <f>IF(G154="", "", IF(ISNUMBER(_xlfn.XMATCH(G154, 'State Google Tags on Account'!E:E)), "Found in Alicia API Pull", "MISSING in Alicia's API Pull"))</f>
        <v>Found in Alicia API Pull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idden="1">
      <c r="A155" s="8">
        <v>2.9589621E8</v>
      </c>
      <c r="B155" s="8">
        <v>4.83039742E8</v>
      </c>
      <c r="C155" s="6" t="s">
        <v>408</v>
      </c>
      <c r="D155" s="8">
        <v>3.69457757E8</v>
      </c>
      <c r="E155" s="6" t="s">
        <v>658</v>
      </c>
      <c r="F155" s="11" t="s">
        <v>656</v>
      </c>
      <c r="G155" s="6" t="s">
        <v>657</v>
      </c>
      <c r="H155" s="6" t="str">
        <f>IF(G155="", "", IF(ISNUMBER(_xlfn.XMATCH(G155, 'Champions Sheet'!H:H)), "Found in Master", "MISSING in Alicia's"))</f>
        <v>MISSING in Alicia's</v>
      </c>
      <c r="I155" s="6" t="str">
        <f>IF(G155="", "", IF(ISNUMBER(_xlfn.XMATCH(G155, 'State Google Tags on Account'!E:E)), "Found in Alicia API Pull", "MISSING in Alicia's API Pull"))</f>
        <v>Found in Alicia API Pull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idden="1">
      <c r="A156" s="8">
        <v>2.9589621E8</v>
      </c>
      <c r="B156" s="8">
        <v>4.88601532E8</v>
      </c>
      <c r="C156" s="6" t="s">
        <v>25</v>
      </c>
      <c r="D156" s="8">
        <v>3.69457757E8</v>
      </c>
      <c r="E156" s="6" t="s">
        <v>658</v>
      </c>
      <c r="F156" s="11" t="s">
        <v>656</v>
      </c>
      <c r="G156" s="6" t="s">
        <v>657</v>
      </c>
      <c r="H156" s="6" t="str">
        <f>IF(G156="", "", IF(ISNUMBER(_xlfn.XMATCH(G156, 'Champions Sheet'!H:H)), "Found in Master", "MISSING in Alicia's"))</f>
        <v>MISSING in Alicia's</v>
      </c>
      <c r="I156" s="6" t="str">
        <f>IF(G156="", "", IF(ISNUMBER(_xlfn.XMATCH(G156, 'State Google Tags on Account'!E:E)), "Found in Alicia API Pull", "MISSING in Alicia's API Pull"))</f>
        <v>Found in Alicia API Pull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idden="1">
      <c r="A157" s="8">
        <v>2.9589621E8</v>
      </c>
      <c r="B157" s="8">
        <v>4.83039742E8</v>
      </c>
      <c r="C157" s="6" t="s">
        <v>408</v>
      </c>
      <c r="D157" s="8">
        <v>4.33433864E8</v>
      </c>
      <c r="E157" s="6" t="s">
        <v>571</v>
      </c>
      <c r="F157" s="11" t="s">
        <v>568</v>
      </c>
      <c r="G157" s="6" t="s">
        <v>573</v>
      </c>
      <c r="H157" s="6" t="str">
        <f>IF(G157="", "", IF(ISNUMBER(_xlfn.XMATCH(G157, 'Champions Sheet'!H:H)), "Found in Master", "MISSING in Alicia's"))</f>
        <v>MISSING in Alicia's</v>
      </c>
      <c r="I157" s="6" t="str">
        <f>IF(G157="", "", IF(ISNUMBER(_xlfn.XMATCH(G157, 'State Google Tags on Account'!E:E)), "Found in Alicia API Pull", "MISSING in Alicia's API Pull"))</f>
        <v>Found in Alicia API Pull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idden="1">
      <c r="A158" s="8">
        <v>2.9589621E8</v>
      </c>
      <c r="B158" s="8">
        <v>4.50964503E8</v>
      </c>
      <c r="C158" s="6" t="s">
        <v>43</v>
      </c>
      <c r="D158" s="8">
        <v>4.33433864E8</v>
      </c>
      <c r="E158" s="6" t="s">
        <v>571</v>
      </c>
      <c r="F158" s="11" t="s">
        <v>568</v>
      </c>
      <c r="G158" s="6" t="s">
        <v>573</v>
      </c>
      <c r="H158" s="6" t="str">
        <f>IF(G158="", "", IF(ISNUMBER(_xlfn.XMATCH(G158, 'Champions Sheet'!H:H)), "Found in Master", "MISSING in Alicia's"))</f>
        <v>MISSING in Alicia's</v>
      </c>
      <c r="I158" s="6" t="str">
        <f>IF(G158="", "", IF(ISNUMBER(_xlfn.XMATCH(G158, 'State Google Tags on Account'!E:E)), "Found in Alicia API Pull", "MISSING in Alicia's API Pull"))</f>
        <v>Found in Alicia API Pull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idden="1">
      <c r="A159" s="8">
        <v>2.9589621E8</v>
      </c>
      <c r="B159" s="8">
        <v>4.50964503E8</v>
      </c>
      <c r="C159" s="6" t="s">
        <v>43</v>
      </c>
      <c r="D159" s="8">
        <v>4.75128268E8</v>
      </c>
      <c r="E159" s="6" t="s">
        <v>545</v>
      </c>
      <c r="F159" s="11" t="s">
        <v>540</v>
      </c>
      <c r="G159" s="6" t="s">
        <v>543</v>
      </c>
      <c r="H159" s="6" t="str">
        <f>IF(G159="", "", IF(ISNUMBER(_xlfn.XMATCH(G159, 'Champions Sheet'!H:H)), "Found in Master", "MISSING in Alicia's"))</f>
        <v>Found in Master</v>
      </c>
      <c r="I159" s="6" t="str">
        <f>IF(G159="", "", IF(ISNUMBER(_xlfn.XMATCH(G159, 'State Google Tags on Account'!E:E)), "Found in Alicia API Pull", "MISSING in Alicia's API Pull"))</f>
        <v>Found in Alicia API Pull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idden="1">
      <c r="A160" s="8">
        <v>2.9589621E8</v>
      </c>
      <c r="B160" s="8">
        <v>4.82352716E8</v>
      </c>
      <c r="C160" s="6" t="s">
        <v>179</v>
      </c>
      <c r="D160" s="8">
        <v>3.29851058E8</v>
      </c>
      <c r="E160" s="6" t="s">
        <v>995</v>
      </c>
      <c r="F160" s="11" t="s">
        <v>1052</v>
      </c>
      <c r="G160" s="6" t="s">
        <v>994</v>
      </c>
      <c r="H160" s="6" t="str">
        <f>IF(G160="", "", IF(ISNUMBER(_xlfn.XMATCH(G160, 'Champions Sheet'!H:H)), "Found in Master", "MISSING in Alicia's"))</f>
        <v>Found in Master</v>
      </c>
      <c r="I160" s="6" t="str">
        <f>IF(G160="", "", IF(ISNUMBER(_xlfn.XMATCH(G160, 'State Google Tags on Account'!E:E)), "Found in Alicia API Pull", "MISSING in Alicia's API Pull"))</f>
        <v>Found in Alicia API Pull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idden="1">
      <c r="A161" s="8">
        <v>2.9589621E8</v>
      </c>
      <c r="B161" s="8">
        <v>4.50964503E8</v>
      </c>
      <c r="C161" s="6" t="s">
        <v>43</v>
      </c>
      <c r="D161" s="8">
        <v>3.29851058E8</v>
      </c>
      <c r="E161" s="6" t="s">
        <v>995</v>
      </c>
      <c r="F161" s="11" t="s">
        <v>1052</v>
      </c>
      <c r="G161" s="6" t="s">
        <v>994</v>
      </c>
      <c r="H161" s="6" t="str">
        <f>IF(G161="", "", IF(ISNUMBER(_xlfn.XMATCH(G161, 'Champions Sheet'!H:H)), "Found in Master", "MISSING in Alicia's"))</f>
        <v>Found in Master</v>
      </c>
      <c r="I161" s="6" t="str">
        <f>IF(G161="", "", IF(ISNUMBER(_xlfn.XMATCH(G161, 'State Google Tags on Account'!E:E)), "Found in Alicia API Pull", "MISSING in Alicia's API Pull"))</f>
        <v>Found in Alicia API Pull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idden="1">
      <c r="A162" s="8">
        <v>2.9589621E8</v>
      </c>
      <c r="B162" s="8">
        <v>4.83039742E8</v>
      </c>
      <c r="C162" s="6" t="s">
        <v>408</v>
      </c>
      <c r="D162" s="8">
        <v>4.33419529E8</v>
      </c>
      <c r="E162" s="6" t="s">
        <v>594</v>
      </c>
      <c r="F162" s="11" t="s">
        <v>591</v>
      </c>
      <c r="G162" s="6" t="s">
        <v>597</v>
      </c>
      <c r="H162" s="6" t="str">
        <f>IF(G162="", "", IF(ISNUMBER(_xlfn.XMATCH(G162, 'Champions Sheet'!H:H)), "Found in Master", "MISSING in Alicia's"))</f>
        <v>MISSING in Alicia's</v>
      </c>
      <c r="I162" s="6" t="str">
        <f>IF(G162="", "", IF(ISNUMBER(_xlfn.XMATCH(G162, 'State Google Tags on Account'!E:E)), "Found in Alicia API Pull", "MISSING in Alicia's API Pull"))</f>
        <v>Found in Alicia API Pull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idden="1">
      <c r="A163" s="8">
        <v>2.9589621E8</v>
      </c>
      <c r="B163" s="8">
        <v>4.50964503E8</v>
      </c>
      <c r="C163" s="6" t="s">
        <v>43</v>
      </c>
      <c r="D163" s="8">
        <v>4.33419529E8</v>
      </c>
      <c r="E163" s="6" t="s">
        <v>594</v>
      </c>
      <c r="F163" s="11" t="s">
        <v>591</v>
      </c>
      <c r="G163" s="6" t="s">
        <v>597</v>
      </c>
      <c r="H163" s="6" t="str">
        <f>IF(G163="", "", IF(ISNUMBER(_xlfn.XMATCH(G163, 'Champions Sheet'!H:H)), "Found in Master", "MISSING in Alicia's"))</f>
        <v>MISSING in Alicia's</v>
      </c>
      <c r="I163" s="6" t="str">
        <f>IF(G163="", "", IF(ISNUMBER(_xlfn.XMATCH(G163, 'State Google Tags on Account'!E:E)), "Found in Alicia API Pull", "MISSING in Alicia's API Pull"))</f>
        <v>Found in Alicia API Pull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idden="1">
      <c r="A164" s="8">
        <v>2.9589621E8</v>
      </c>
      <c r="B164" s="8">
        <v>4.83039742E8</v>
      </c>
      <c r="C164" s="6" t="s">
        <v>408</v>
      </c>
      <c r="D164" s="8">
        <v>3.46387672E8</v>
      </c>
      <c r="E164" s="6" t="s">
        <v>602</v>
      </c>
      <c r="F164" s="11" t="s">
        <v>600</v>
      </c>
      <c r="G164" s="6" t="s">
        <v>601</v>
      </c>
      <c r="H164" s="6" t="str">
        <f>IF(G164="", "", IF(ISNUMBER(_xlfn.XMATCH(G164, 'Champions Sheet'!H:H)), "Found in Master", "MISSING in Alicia's"))</f>
        <v>MISSING in Alicia's</v>
      </c>
      <c r="I164" s="6" t="str">
        <f>IF(G164="", "", IF(ISNUMBER(_xlfn.XMATCH(G164, 'State Google Tags on Account'!E:E)), "Found in Alicia API Pull", "MISSING in Alicia's API Pull"))</f>
        <v>Found in Alicia API Pull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idden="1">
      <c r="A165" s="8">
        <v>2.9589621E8</v>
      </c>
      <c r="B165" s="8">
        <v>4.50964503E8</v>
      </c>
      <c r="C165" s="6" t="s">
        <v>43</v>
      </c>
      <c r="D165" s="8">
        <v>3.46387672E8</v>
      </c>
      <c r="E165" s="6" t="s">
        <v>602</v>
      </c>
      <c r="F165" s="11" t="s">
        <v>600</v>
      </c>
      <c r="G165" s="6" t="s">
        <v>601</v>
      </c>
      <c r="H165" s="6" t="str">
        <f>IF(G165="", "", IF(ISNUMBER(_xlfn.XMATCH(G165, 'Champions Sheet'!H:H)), "Found in Master", "MISSING in Alicia's"))</f>
        <v>MISSING in Alicia's</v>
      </c>
      <c r="I165" s="6" t="str">
        <f>IF(G165="", "", IF(ISNUMBER(_xlfn.XMATCH(G165, 'State Google Tags on Account'!E:E)), "Found in Alicia API Pull", "MISSING in Alicia's API Pull"))</f>
        <v>Found in Alicia API Pull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idden="1">
      <c r="A166" s="8">
        <v>2.9589621E8</v>
      </c>
      <c r="B166" s="8">
        <v>4.87657823E8</v>
      </c>
      <c r="C166" s="6" t="s">
        <v>333</v>
      </c>
      <c r="D166" s="8">
        <v>4.87576261E8</v>
      </c>
      <c r="E166" s="6" t="s">
        <v>1305</v>
      </c>
      <c r="F166" s="11" t="s">
        <v>1300</v>
      </c>
      <c r="G166" s="6" t="s">
        <v>1303</v>
      </c>
      <c r="H166" s="6" t="str">
        <f>IF(G166="", "", IF(ISNUMBER(_xlfn.XMATCH(G166, 'Champions Sheet'!H:H)), "Found in Master", "MISSING in Alicia's"))</f>
        <v>Found in Master</v>
      </c>
      <c r="I166" s="6" t="str">
        <f>IF(G166="", "", IF(ISNUMBER(_xlfn.XMATCH(G166, 'State Google Tags on Account'!E:E)), "Found in Alicia API Pull", "MISSING in Alicia's API Pull"))</f>
        <v>Found in Alicia API Pull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idden="1">
      <c r="A167" s="8">
        <v>2.9589621E8</v>
      </c>
      <c r="B167" s="8">
        <v>4.50964503E8</v>
      </c>
      <c r="C167" s="6" t="s">
        <v>43</v>
      </c>
      <c r="D167" s="8">
        <v>4.87576261E8</v>
      </c>
      <c r="E167" s="6" t="s">
        <v>1305</v>
      </c>
      <c r="F167" s="11" t="s">
        <v>1300</v>
      </c>
      <c r="G167" s="6" t="s">
        <v>1303</v>
      </c>
      <c r="H167" s="6" t="str">
        <f>IF(G167="", "", IF(ISNUMBER(_xlfn.XMATCH(G167, 'Champions Sheet'!H:H)), "Found in Master", "MISSING in Alicia's"))</f>
        <v>Found in Master</v>
      </c>
      <c r="I167" s="6" t="str">
        <f>IF(G167="", "", IF(ISNUMBER(_xlfn.XMATCH(G167, 'State Google Tags on Account'!E:E)), "Found in Alicia API Pull", "MISSING in Alicia's API Pull"))</f>
        <v>Found in Alicia API Pull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idden="1">
      <c r="A168" s="8">
        <v>2.9589621E8</v>
      </c>
      <c r="B168" s="8">
        <v>4.50964503E8</v>
      </c>
      <c r="C168" s="6" t="s">
        <v>43</v>
      </c>
      <c r="D168" s="8">
        <v>2.92130491E8</v>
      </c>
      <c r="E168" s="6" t="s">
        <v>428</v>
      </c>
      <c r="F168" s="11" t="s">
        <v>430</v>
      </c>
      <c r="G168" s="6" t="s">
        <v>433</v>
      </c>
      <c r="H168" s="6" t="str">
        <f>IF(G168="", "", IF(ISNUMBER(_xlfn.XMATCH(G168, 'Champions Sheet'!H:H)), "Found in Master", "MISSING in Alicia's"))</f>
        <v>Found in Master</v>
      </c>
      <c r="I168" s="6" t="str">
        <f>IF(G168="", "", IF(ISNUMBER(_xlfn.XMATCH(G168, 'State Google Tags on Account'!E:E)), "Found in Alicia API Pull", "MISSING in Alicia's API Pull"))</f>
        <v>Found in Alicia API Pull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idden="1">
      <c r="A169" s="8">
        <v>2.9589621E8</v>
      </c>
      <c r="B169" s="8">
        <v>4.57748145E8</v>
      </c>
      <c r="C169" s="6" t="s">
        <v>2048</v>
      </c>
      <c r="D169" s="8">
        <v>2.92130491E8</v>
      </c>
      <c r="E169" s="6" t="s">
        <v>428</v>
      </c>
      <c r="F169" s="11" t="s">
        <v>430</v>
      </c>
      <c r="G169" s="6" t="s">
        <v>433</v>
      </c>
      <c r="H169" s="6" t="str">
        <f>IF(G169="", "", IF(ISNUMBER(_xlfn.XMATCH(G169, 'Champions Sheet'!H:H)), "Found in Master", "MISSING in Alicia's"))</f>
        <v>Found in Master</v>
      </c>
      <c r="I169" s="6" t="str">
        <f>IF(G169="", "", IF(ISNUMBER(_xlfn.XMATCH(G169, 'State Google Tags on Account'!E:E)), "Found in Alicia API Pull", "MISSING in Alicia's API Pull"))</f>
        <v>Found in Alicia API Pull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idden="1">
      <c r="A170" s="8">
        <v>2.9589621E8</v>
      </c>
      <c r="B170" s="8">
        <v>4.87084052E8</v>
      </c>
      <c r="C170" s="6" t="s">
        <v>61</v>
      </c>
      <c r="D170" s="8">
        <v>3.46259203E8</v>
      </c>
      <c r="E170" s="6" t="s">
        <v>1464</v>
      </c>
      <c r="F170" s="11" t="s">
        <v>1470</v>
      </c>
      <c r="G170" s="6" t="s">
        <v>1472</v>
      </c>
      <c r="H170" s="6" t="str">
        <f>IF(G170="", "", IF(ISNUMBER(_xlfn.XMATCH(G170, 'Champions Sheet'!H:H)), "Found in Master", "MISSING in Alicia's"))</f>
        <v>MISSING in Alicia's</v>
      </c>
      <c r="I170" s="6" t="str">
        <f>IF(G170="", "", IF(ISNUMBER(_xlfn.XMATCH(G170, 'State Google Tags on Account'!E:E)), "Found in Alicia API Pull", "MISSING in Alicia's API Pull"))</f>
        <v>Found in Alicia API Pull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idden="1">
      <c r="A171" s="8">
        <v>2.9589621E8</v>
      </c>
      <c r="B171" s="8">
        <v>4.87657823E8</v>
      </c>
      <c r="C171" s="6" t="s">
        <v>333</v>
      </c>
      <c r="D171" s="8">
        <v>3.46259203E8</v>
      </c>
      <c r="E171" s="6" t="s">
        <v>1464</v>
      </c>
      <c r="F171" s="11" t="s">
        <v>1470</v>
      </c>
      <c r="G171" s="6" t="s">
        <v>1472</v>
      </c>
      <c r="H171" s="6" t="str">
        <f>IF(G171="", "", IF(ISNUMBER(_xlfn.XMATCH(G171, 'Champions Sheet'!H:H)), "Found in Master", "MISSING in Alicia's"))</f>
        <v>MISSING in Alicia's</v>
      </c>
      <c r="I171" s="6" t="str">
        <f>IF(G171="", "", IF(ISNUMBER(_xlfn.XMATCH(G171, 'State Google Tags on Account'!E:E)), "Found in Alicia API Pull", "MISSING in Alicia's API Pull"))</f>
        <v>Found in Alicia API Pull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idden="1">
      <c r="A172" s="8">
        <v>2.9589621E8</v>
      </c>
      <c r="B172" s="8">
        <v>4.50964503E8</v>
      </c>
      <c r="C172" s="6" t="s">
        <v>43</v>
      </c>
      <c r="D172" s="8">
        <v>3.46259203E8</v>
      </c>
      <c r="E172" s="6" t="s">
        <v>1464</v>
      </c>
      <c r="F172" s="11" t="s">
        <v>1470</v>
      </c>
      <c r="G172" s="6" t="s">
        <v>1472</v>
      </c>
      <c r="H172" s="6" t="str">
        <f>IF(G172="", "", IF(ISNUMBER(_xlfn.XMATCH(G172, 'Champions Sheet'!H:H)), "Found in Master", "MISSING in Alicia's"))</f>
        <v>MISSING in Alicia's</v>
      </c>
      <c r="I172" s="6" t="str">
        <f>IF(G172="", "", IF(ISNUMBER(_xlfn.XMATCH(G172, 'State Google Tags on Account'!E:E)), "Found in Alicia API Pull", "MISSING in Alicia's API Pull"))</f>
        <v>Found in Alicia API Pull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idden="1">
      <c r="A173" s="8">
        <v>2.9589621E8</v>
      </c>
      <c r="B173" s="8">
        <v>4.87657823E8</v>
      </c>
      <c r="C173" s="6" t="s">
        <v>333</v>
      </c>
      <c r="D173" s="8">
        <v>4.42592127E8</v>
      </c>
      <c r="E173" s="6" t="s">
        <v>1369</v>
      </c>
      <c r="F173" s="11" t="s">
        <v>1364</v>
      </c>
      <c r="G173" s="6" t="s">
        <v>1367</v>
      </c>
      <c r="H173" s="6" t="str">
        <f>IF(G173="", "", IF(ISNUMBER(_xlfn.XMATCH(G173, 'Champions Sheet'!H:H)), "Found in Master", "MISSING in Alicia's"))</f>
        <v>Found in Master</v>
      </c>
      <c r="I173" s="6" t="str">
        <f>IF(G173="", "", IF(ISNUMBER(_xlfn.XMATCH(G173, 'State Google Tags on Account'!E:E)), "Found in Alicia API Pull", "MISSING in Alicia's API Pull"))</f>
        <v>Found in Alicia API Pull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idden="1">
      <c r="A174" s="8">
        <v>2.9589621E8</v>
      </c>
      <c r="B174" s="8">
        <v>4.50964503E8</v>
      </c>
      <c r="C174" s="6" t="s">
        <v>43</v>
      </c>
      <c r="D174" s="8">
        <v>4.42592127E8</v>
      </c>
      <c r="E174" s="6" t="s">
        <v>1369</v>
      </c>
      <c r="F174" s="11" t="s">
        <v>1364</v>
      </c>
      <c r="G174" s="6" t="s">
        <v>1367</v>
      </c>
      <c r="H174" s="6" t="str">
        <f>IF(G174="", "", IF(ISNUMBER(_xlfn.XMATCH(G174, 'Champions Sheet'!H:H)), "Found in Master", "MISSING in Alicia's"))</f>
        <v>Found in Master</v>
      </c>
      <c r="I174" s="6" t="str">
        <f>IF(G174="", "", IF(ISNUMBER(_xlfn.XMATCH(G174, 'State Google Tags on Account'!E:E)), "Found in Alicia API Pull", "MISSING in Alicia's API Pull"))</f>
        <v>Found in Alicia API Pull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idden="1">
      <c r="A175" s="8">
        <v>2.9589621E8</v>
      </c>
      <c r="B175" s="8">
        <v>4.82151148E8</v>
      </c>
      <c r="C175" s="6" t="s">
        <v>282</v>
      </c>
      <c r="D175" s="8">
        <v>3.1807176E8</v>
      </c>
      <c r="E175" s="6" t="s">
        <v>746</v>
      </c>
      <c r="F175" s="11" t="s">
        <v>781</v>
      </c>
      <c r="G175" s="6" t="s">
        <v>791</v>
      </c>
      <c r="H175" s="6" t="str">
        <f>IF(G175="", "", IF(ISNUMBER(_xlfn.XMATCH(G175, 'Champions Sheet'!H:H)), "Found in Master", "MISSING in Alicia's"))</f>
        <v>Found in Master</v>
      </c>
      <c r="I175" s="6" t="str">
        <f>IF(G175="", "", IF(ISNUMBER(_xlfn.XMATCH(G175, 'State Google Tags on Account'!E:E)), "Found in Alicia API Pull", "MISSING in Alicia's API Pull"))</f>
        <v>Found in Alicia API Pull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idden="1">
      <c r="A176" s="8">
        <v>2.9589621E8</v>
      </c>
      <c r="B176" s="8">
        <v>4.50964503E8</v>
      </c>
      <c r="C176" s="6" t="s">
        <v>43</v>
      </c>
      <c r="D176" s="8">
        <v>3.1807176E8</v>
      </c>
      <c r="E176" s="6" t="s">
        <v>746</v>
      </c>
      <c r="F176" s="11" t="s">
        <v>781</v>
      </c>
      <c r="G176" s="6" t="s">
        <v>791</v>
      </c>
      <c r="H176" s="6" t="str">
        <f>IF(G176="", "", IF(ISNUMBER(_xlfn.XMATCH(G176, 'Champions Sheet'!H:H)), "Found in Master", "MISSING in Alicia's"))</f>
        <v>Found in Master</v>
      </c>
      <c r="I176" s="6" t="str">
        <f>IF(G176="", "", IF(ISNUMBER(_xlfn.XMATCH(G176, 'State Google Tags on Account'!E:E)), "Found in Alicia API Pull", "MISSING in Alicia's API Pull"))</f>
        <v>Found in Alicia API Pull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idden="1">
      <c r="A177" s="8">
        <v>2.9589621E8</v>
      </c>
      <c r="B177" s="8">
        <v>4.83039742E8</v>
      </c>
      <c r="C177" s="6" t="s">
        <v>408</v>
      </c>
      <c r="D177" s="8">
        <v>4.33442042E8</v>
      </c>
      <c r="E177" s="6" t="s">
        <v>2055</v>
      </c>
      <c r="F177" s="11" t="s">
        <v>643</v>
      </c>
      <c r="G177" s="6" t="s">
        <v>650</v>
      </c>
      <c r="H177" s="6" t="str">
        <f>IF(G177="", "", IF(ISNUMBER(_xlfn.XMATCH(G177, 'Champions Sheet'!H:H)), "Found in Master", "MISSING in Alicia's"))</f>
        <v>MISSING in Alicia's</v>
      </c>
      <c r="I177" s="6" t="str">
        <f>IF(G177="", "", IF(ISNUMBER(_xlfn.XMATCH(G177, 'State Google Tags on Account'!E:E)), "Found in Alicia API Pull", "MISSING in Alicia's API Pull"))</f>
        <v>Found in Alicia API Pull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idden="1">
      <c r="A178" s="8">
        <v>2.9589621E8</v>
      </c>
      <c r="B178" s="8">
        <v>4.50964503E8</v>
      </c>
      <c r="C178" s="6" t="s">
        <v>43</v>
      </c>
      <c r="D178" s="8">
        <v>4.33442042E8</v>
      </c>
      <c r="E178" s="6" t="s">
        <v>2055</v>
      </c>
      <c r="F178" s="11" t="s">
        <v>643</v>
      </c>
      <c r="G178" s="6" t="s">
        <v>650</v>
      </c>
      <c r="H178" s="6" t="str">
        <f>IF(G178="", "", IF(ISNUMBER(_xlfn.XMATCH(G178, 'Champions Sheet'!H:H)), "Found in Master", "MISSING in Alicia's"))</f>
        <v>MISSING in Alicia's</v>
      </c>
      <c r="I178" s="6" t="str">
        <f>IF(G178="", "", IF(ISNUMBER(_xlfn.XMATCH(G178, 'State Google Tags on Account'!E:E)), "Found in Alicia API Pull", "MISSING in Alicia's API Pull"))</f>
        <v>Found in Alicia API Pull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idden="1">
      <c r="A179" s="8">
        <v>2.9589621E8</v>
      </c>
      <c r="B179" s="8">
        <v>4.82352716E8</v>
      </c>
      <c r="C179" s="6" t="s">
        <v>179</v>
      </c>
      <c r="D179" s="8">
        <v>4.54516858E8</v>
      </c>
      <c r="E179" s="6" t="s">
        <v>886</v>
      </c>
      <c r="F179" s="11" t="s">
        <v>881</v>
      </c>
      <c r="G179" s="6" t="s">
        <v>885</v>
      </c>
      <c r="H179" s="6" t="str">
        <f>IF(G179="", "", IF(ISNUMBER(_xlfn.XMATCH(G179, 'Champions Sheet'!H:H)), "Found in Master", "MISSING in Alicia's"))</f>
        <v>MISSING in Alicia's</v>
      </c>
      <c r="I179" s="6" t="str">
        <f>IF(G179="", "", IF(ISNUMBER(_xlfn.XMATCH(G179, 'State Google Tags on Account'!E:E)), "Found in Alicia API Pull", "MISSING in Alicia's API Pull"))</f>
        <v>Found in Alicia API Pull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idden="1">
      <c r="A180" s="8">
        <v>2.9589621E8</v>
      </c>
      <c r="B180" s="8">
        <v>4.50964503E8</v>
      </c>
      <c r="C180" s="6" t="s">
        <v>43</v>
      </c>
      <c r="D180" s="8">
        <v>4.54516858E8</v>
      </c>
      <c r="E180" s="6" t="s">
        <v>886</v>
      </c>
      <c r="F180" s="11" t="s">
        <v>881</v>
      </c>
      <c r="G180" s="6" t="s">
        <v>885</v>
      </c>
      <c r="H180" s="6" t="str">
        <f>IF(G180="", "", IF(ISNUMBER(_xlfn.XMATCH(G180, 'Champions Sheet'!H:H)), "Found in Master", "MISSING in Alicia's"))</f>
        <v>MISSING in Alicia's</v>
      </c>
      <c r="I180" s="6" t="str">
        <f>IF(G180="", "", IF(ISNUMBER(_xlfn.XMATCH(G180, 'State Google Tags on Account'!E:E)), "Found in Alicia API Pull", "MISSING in Alicia's API Pull"))</f>
        <v>Found in Alicia API Pull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idden="1">
      <c r="A181" s="8">
        <v>2.9589621E8</v>
      </c>
      <c r="B181" s="8">
        <v>4.82151148E8</v>
      </c>
      <c r="C181" s="6" t="s">
        <v>282</v>
      </c>
      <c r="D181" s="8">
        <v>3.70769889E8</v>
      </c>
      <c r="E181" s="6" t="s">
        <v>1155</v>
      </c>
      <c r="F181" s="11" t="s">
        <v>1148</v>
      </c>
      <c r="G181" s="6" t="s">
        <v>1153</v>
      </c>
      <c r="H181" s="6" t="str">
        <f>IF(G181="", "", IF(ISNUMBER(_xlfn.XMATCH(G181, 'Champions Sheet'!H:H)), "Found in Master", "MISSING in Alicia's"))</f>
        <v>Found in Master</v>
      </c>
      <c r="I181" s="6" t="str">
        <f>IF(G181="", "", IF(ISNUMBER(_xlfn.XMATCH(G181, 'State Google Tags on Account'!E:E)), "Found in Alicia API Pull", "MISSING in Alicia's API Pull"))</f>
        <v>Found in Alicia API Pull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idden="1">
      <c r="A182" s="8">
        <v>2.9589621E8</v>
      </c>
      <c r="B182" s="8">
        <v>4.50964503E8</v>
      </c>
      <c r="C182" s="6" t="s">
        <v>43</v>
      </c>
      <c r="D182" s="8">
        <v>3.70769889E8</v>
      </c>
      <c r="E182" s="6" t="s">
        <v>1155</v>
      </c>
      <c r="F182" s="11" t="s">
        <v>1148</v>
      </c>
      <c r="G182" s="6" t="s">
        <v>1153</v>
      </c>
      <c r="H182" s="6" t="str">
        <f>IF(G182="", "", IF(ISNUMBER(_xlfn.XMATCH(G182, 'Champions Sheet'!H:H)), "Found in Master", "MISSING in Alicia's"))</f>
        <v>Found in Master</v>
      </c>
      <c r="I182" s="6" t="str">
        <f>IF(G182="", "", IF(ISNUMBER(_xlfn.XMATCH(G182, 'State Google Tags on Account'!E:E)), "Found in Alicia API Pull", "MISSING in Alicia's API Pull"))</f>
        <v>Found in Alicia API Pull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idden="1">
      <c r="A183" s="8">
        <v>2.9589621E8</v>
      </c>
      <c r="B183" s="8">
        <v>4.83039742E8</v>
      </c>
      <c r="C183" s="6" t="s">
        <v>408</v>
      </c>
      <c r="D183" s="8">
        <v>4.33428413E8</v>
      </c>
      <c r="E183" s="6" t="s">
        <v>752</v>
      </c>
      <c r="F183" s="11" t="s">
        <v>749</v>
      </c>
      <c r="G183" s="6" t="s">
        <v>750</v>
      </c>
      <c r="H183" s="6" t="str">
        <f>IF(G183="", "", IF(ISNUMBER(_xlfn.XMATCH(G183, 'Champions Sheet'!H:H)), "Found in Master", "MISSING in Alicia's"))</f>
        <v>MISSING in Alicia's</v>
      </c>
      <c r="I183" s="6" t="str">
        <f>IF(G183="", "", IF(ISNUMBER(_xlfn.XMATCH(G183, 'State Google Tags on Account'!E:E)), "Found in Alicia API Pull", "MISSING in Alicia's API Pull"))</f>
        <v>Found in Alicia API Pull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idden="1">
      <c r="A184" s="8">
        <v>2.9589621E8</v>
      </c>
      <c r="B184" s="8">
        <v>4.88601532E8</v>
      </c>
      <c r="C184" s="6" t="s">
        <v>25</v>
      </c>
      <c r="D184" s="8">
        <v>4.33428413E8</v>
      </c>
      <c r="E184" s="6" t="s">
        <v>752</v>
      </c>
      <c r="F184" s="11" t="s">
        <v>749</v>
      </c>
      <c r="G184" s="6" t="s">
        <v>750</v>
      </c>
      <c r="H184" s="6" t="str">
        <f>IF(G184="", "", IF(ISNUMBER(_xlfn.XMATCH(G184, 'Champions Sheet'!H:H)), "Found in Master", "MISSING in Alicia's"))</f>
        <v>MISSING in Alicia's</v>
      </c>
      <c r="I184" s="6" t="str">
        <f>IF(G184="", "", IF(ISNUMBER(_xlfn.XMATCH(G184, 'State Google Tags on Account'!E:E)), "Found in Alicia API Pull", "MISSING in Alicia's API Pull"))</f>
        <v>Found in Alicia API Pull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idden="1">
      <c r="A185" s="8">
        <v>2.9589621E8</v>
      </c>
      <c r="B185" s="8">
        <v>4.50964503E8</v>
      </c>
      <c r="C185" s="6" t="s">
        <v>43</v>
      </c>
      <c r="D185" s="8">
        <v>3.6247353E8</v>
      </c>
      <c r="E185" s="6" t="s">
        <v>2062</v>
      </c>
      <c r="F185" s="11" t="s">
        <v>2063</v>
      </c>
      <c r="G185" s="6" t="s">
        <v>2064</v>
      </c>
      <c r="H185" s="6" t="str">
        <f>IF(G185="", "", IF(ISNUMBER(_xlfn.XMATCH(G185, 'Champions Sheet'!H:H)), "Found in Master", "MISSING in Alicia's"))</f>
        <v>MISSING in Alicia's</v>
      </c>
      <c r="I185" s="6" t="str">
        <f>IF(G185="", "", IF(ISNUMBER(_xlfn.XMATCH(G185, 'State Google Tags on Account'!E:E)), "Found in Alicia API Pull", "MISSING in Alicia's API Pull"))</f>
        <v>MISSING in Alicia's API Pull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idden="1">
      <c r="A186" s="8">
        <v>2.9589621E8</v>
      </c>
      <c r="B186" s="8">
        <v>4.82352716E8</v>
      </c>
      <c r="C186" s="6" t="s">
        <v>179</v>
      </c>
      <c r="D186" s="8">
        <v>4.0122442E8</v>
      </c>
      <c r="E186" s="6" t="s">
        <v>769</v>
      </c>
      <c r="F186" s="11" t="s">
        <v>765</v>
      </c>
      <c r="G186" s="6" t="s">
        <v>768</v>
      </c>
      <c r="H186" s="6" t="str">
        <f>IF(G186="", "", IF(ISNUMBER(_xlfn.XMATCH(G186, 'Champions Sheet'!H:H)), "Found in Master", "MISSING in Alicia's"))</f>
        <v>Found in Master</v>
      </c>
      <c r="I186" s="6" t="str">
        <f>IF(G186="", "", IF(ISNUMBER(_xlfn.XMATCH(G186, 'State Google Tags on Account'!E:E)), "Found in Alicia API Pull", "MISSING in Alicia's API Pull"))</f>
        <v>Found in Alicia API Pull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idden="1">
      <c r="A187" s="8">
        <v>2.9589621E8</v>
      </c>
      <c r="B187" s="8">
        <v>4.50964503E8</v>
      </c>
      <c r="C187" s="6" t="s">
        <v>43</v>
      </c>
      <c r="D187" s="8">
        <v>4.0122442E8</v>
      </c>
      <c r="E187" s="6" t="s">
        <v>769</v>
      </c>
      <c r="F187" s="11" t="s">
        <v>765</v>
      </c>
      <c r="G187" s="6" t="s">
        <v>768</v>
      </c>
      <c r="H187" s="6" t="str">
        <f>IF(G187="", "", IF(ISNUMBER(_xlfn.XMATCH(G187, 'Champions Sheet'!H:H)), "Found in Master", "MISSING in Alicia's"))</f>
        <v>Found in Master</v>
      </c>
      <c r="I187" s="6" t="str">
        <f>IF(G187="", "", IF(ISNUMBER(_xlfn.XMATCH(G187, 'State Google Tags on Account'!E:E)), "Found in Alicia API Pull", "MISSING in Alicia's API Pull"))</f>
        <v>Found in Alicia API Pull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idden="1">
      <c r="A188" s="8">
        <v>2.9589621E8</v>
      </c>
      <c r="B188" s="8">
        <v>4.82352716E8</v>
      </c>
      <c r="C188" s="6" t="s">
        <v>179</v>
      </c>
      <c r="D188" s="8">
        <v>4.11349392E8</v>
      </c>
      <c r="E188" s="6" t="s">
        <v>720</v>
      </c>
      <c r="F188" s="11" t="s">
        <v>717</v>
      </c>
      <c r="G188" s="6" t="s">
        <v>719</v>
      </c>
      <c r="H188" s="6" t="str">
        <f>IF(G188="", "", IF(ISNUMBER(_xlfn.XMATCH(G188, 'Champions Sheet'!H:H)), "Found in Master", "MISSING in Alicia's"))</f>
        <v>Found in Master</v>
      </c>
      <c r="I188" s="6" t="str">
        <f>IF(G188="", "", IF(ISNUMBER(_xlfn.XMATCH(G188, 'State Google Tags on Account'!E:E)), "Found in Alicia API Pull", "MISSING in Alicia's API Pull"))</f>
        <v>Found in Alicia API Pull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idden="1">
      <c r="A189" s="8">
        <v>2.9589621E8</v>
      </c>
      <c r="B189" s="8">
        <v>4.50964503E8</v>
      </c>
      <c r="C189" s="6" t="s">
        <v>43</v>
      </c>
      <c r="D189" s="8">
        <v>4.11349392E8</v>
      </c>
      <c r="E189" s="6" t="s">
        <v>720</v>
      </c>
      <c r="F189" s="11" t="s">
        <v>717</v>
      </c>
      <c r="G189" s="6" t="s">
        <v>719</v>
      </c>
      <c r="H189" s="6" t="str">
        <f>IF(G189="", "", IF(ISNUMBER(_xlfn.XMATCH(G189, 'Champions Sheet'!H:H)), "Found in Master", "MISSING in Alicia's"))</f>
        <v>Found in Master</v>
      </c>
      <c r="I189" s="6" t="str">
        <f>IF(G189="", "", IF(ISNUMBER(_xlfn.XMATCH(G189, 'State Google Tags on Account'!E:E)), "Found in Alicia API Pull", "MISSING in Alicia's API Pull"))</f>
        <v>Found in Alicia API Pull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idden="1">
      <c r="A190" s="8">
        <v>2.9589621E8</v>
      </c>
      <c r="B190" s="8">
        <v>4.82151148E8</v>
      </c>
      <c r="C190" s="6" t="s">
        <v>282</v>
      </c>
      <c r="D190" s="8">
        <v>3.46793815E8</v>
      </c>
      <c r="E190" s="6" t="s">
        <v>1111</v>
      </c>
      <c r="F190" s="11" t="s">
        <v>1812</v>
      </c>
      <c r="G190" s="6" t="s">
        <v>1110</v>
      </c>
      <c r="H190" s="6" t="str">
        <f>IF(G190="", "", IF(ISNUMBER(_xlfn.XMATCH(G190, 'Champions Sheet'!H:H)), "Found in Master", "MISSING in Alicia's"))</f>
        <v>Found in Master</v>
      </c>
      <c r="I190" s="6" t="str">
        <f>IF(G190="", "", IF(ISNUMBER(_xlfn.XMATCH(G190, 'State Google Tags on Account'!E:E)), "Found in Alicia API Pull", "MISSING in Alicia's API Pull"))</f>
        <v>Found in Alicia API Pull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idden="1">
      <c r="A191" s="8">
        <v>2.9589621E8</v>
      </c>
      <c r="B191" s="8">
        <v>4.50964503E8</v>
      </c>
      <c r="C191" s="6" t="s">
        <v>43</v>
      </c>
      <c r="D191" s="8">
        <v>3.46793815E8</v>
      </c>
      <c r="E191" s="6" t="s">
        <v>1111</v>
      </c>
      <c r="F191" s="11" t="s">
        <v>1812</v>
      </c>
      <c r="G191" s="6" t="s">
        <v>1110</v>
      </c>
      <c r="H191" s="6" t="str">
        <f>IF(G191="", "", IF(ISNUMBER(_xlfn.XMATCH(G191, 'Champions Sheet'!H:H)), "Found in Master", "MISSING in Alicia's"))</f>
        <v>Found in Master</v>
      </c>
      <c r="I191" s="6" t="str">
        <f>IF(G191="", "", IF(ISNUMBER(_xlfn.XMATCH(G191, 'State Google Tags on Account'!E:E)), "Found in Alicia API Pull", "MISSING in Alicia's API Pull"))</f>
        <v>Found in Alicia API Pull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idden="1">
      <c r="A192" s="8">
        <v>2.9589621E8</v>
      </c>
      <c r="B192" s="8">
        <v>4.83039742E8</v>
      </c>
      <c r="C192" s="6" t="s">
        <v>408</v>
      </c>
      <c r="D192" s="8">
        <v>4.3341417E8</v>
      </c>
      <c r="E192" s="6" t="s">
        <v>654</v>
      </c>
      <c r="F192" s="11" t="s">
        <v>651</v>
      </c>
      <c r="G192" s="6" t="s">
        <v>688</v>
      </c>
      <c r="H192" s="6" t="str">
        <f>IF(G192="", "", IF(ISNUMBER(_xlfn.XMATCH(G192, 'Champions Sheet'!H:H)), "Found in Master", "MISSING in Alicia's"))</f>
        <v>MISSING in Alicia's</v>
      </c>
      <c r="I192" s="6" t="str">
        <f>IF(G192="", "", IF(ISNUMBER(_xlfn.XMATCH(G192, 'State Google Tags on Account'!E:E)), "Found in Alicia API Pull", "MISSING in Alicia's API Pull"))</f>
        <v>Found in Alicia API Pull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idden="1">
      <c r="A193" s="8">
        <v>2.9589621E8</v>
      </c>
      <c r="B193" s="8">
        <v>4.50964503E8</v>
      </c>
      <c r="C193" s="6" t="s">
        <v>43</v>
      </c>
      <c r="D193" s="8">
        <v>4.3341417E8</v>
      </c>
      <c r="E193" s="6" t="s">
        <v>654</v>
      </c>
      <c r="F193" s="11" t="s">
        <v>651</v>
      </c>
      <c r="G193" s="6" t="s">
        <v>688</v>
      </c>
      <c r="H193" s="6" t="str">
        <f>IF(G193="", "", IF(ISNUMBER(_xlfn.XMATCH(G193, 'Champions Sheet'!H:H)), "Found in Master", "MISSING in Alicia's"))</f>
        <v>MISSING in Alicia's</v>
      </c>
      <c r="I193" s="6" t="str">
        <f>IF(G193="", "", IF(ISNUMBER(_xlfn.XMATCH(G193, 'State Google Tags on Account'!E:E)), "Found in Alicia API Pull", "MISSING in Alicia's API Pull"))</f>
        <v>Found in Alicia API Pull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idden="1">
      <c r="A194" s="8">
        <v>2.9589621E8</v>
      </c>
      <c r="B194" s="8">
        <v>4.87657823E8</v>
      </c>
      <c r="C194" s="6" t="s">
        <v>333</v>
      </c>
      <c r="D194" s="8">
        <v>4.81891958E8</v>
      </c>
      <c r="E194" s="6" t="s">
        <v>1321</v>
      </c>
      <c r="F194" s="11" t="s">
        <v>1317</v>
      </c>
      <c r="G194" s="6" t="s">
        <v>1320</v>
      </c>
      <c r="H194" s="6" t="str">
        <f>IF(G194="", "", IF(ISNUMBER(_xlfn.XMATCH(G194, 'Champions Sheet'!H:H)), "Found in Master", "MISSING in Alicia's"))</f>
        <v>Found in Master</v>
      </c>
      <c r="I194" s="6" t="str">
        <f>IF(G194="", "", IF(ISNUMBER(_xlfn.XMATCH(G194, 'State Google Tags on Account'!E:E)), "Found in Alicia API Pull", "MISSING in Alicia's API Pull"))</f>
        <v>Found in Alicia API Pull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idden="1">
      <c r="A195" s="8">
        <v>2.9589621E8</v>
      </c>
      <c r="B195" s="8">
        <v>4.50964503E8</v>
      </c>
      <c r="C195" s="6" t="s">
        <v>43</v>
      </c>
      <c r="D195" s="8">
        <v>4.81891958E8</v>
      </c>
      <c r="E195" s="6" t="s">
        <v>1321</v>
      </c>
      <c r="F195" s="11" t="s">
        <v>1317</v>
      </c>
      <c r="G195" s="6" t="s">
        <v>1320</v>
      </c>
      <c r="H195" s="6" t="str">
        <f>IF(G195="", "", IF(ISNUMBER(_xlfn.XMATCH(G195, 'Champions Sheet'!H:H)), "Found in Master", "MISSING in Alicia's"))</f>
        <v>Found in Master</v>
      </c>
      <c r="I195" s="6" t="str">
        <f>IF(G195="", "", IF(ISNUMBER(_xlfn.XMATCH(G195, 'State Google Tags on Account'!E:E)), "Found in Alicia API Pull", "MISSING in Alicia's API Pull"))</f>
        <v>Found in Alicia API Pull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idden="1">
      <c r="A196" s="8">
        <v>2.9589621E8</v>
      </c>
      <c r="B196" s="8">
        <v>4.83012671E8</v>
      </c>
      <c r="C196" s="6" t="s">
        <v>462</v>
      </c>
      <c r="D196" s="8">
        <v>2.96385598E8</v>
      </c>
      <c r="E196" s="6" t="s">
        <v>118</v>
      </c>
      <c r="F196" s="11" t="s">
        <v>116</v>
      </c>
      <c r="G196" s="6" t="s">
        <v>117</v>
      </c>
      <c r="H196" s="6" t="str">
        <f>IF(G196="", "", IF(ISNUMBER(_xlfn.XMATCH(G196, 'Champions Sheet'!H:H)), "Found in Master", "MISSING in Alicia's"))</f>
        <v>MISSING in Alicia's</v>
      </c>
      <c r="I196" s="6" t="str">
        <f>IF(G196="", "", IF(ISNUMBER(_xlfn.XMATCH(G196, 'State Google Tags on Account'!E:E)), "Found in Alicia API Pull", "MISSING in Alicia's API Pull"))</f>
        <v>Found in Alicia API Pull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idden="1">
      <c r="A197" s="8">
        <v>2.9589621E8</v>
      </c>
      <c r="B197" s="8">
        <v>4.83039742E8</v>
      </c>
      <c r="C197" s="6" t="s">
        <v>408</v>
      </c>
      <c r="D197" s="8">
        <v>4.33432958E8</v>
      </c>
      <c r="E197" s="6" t="s">
        <v>581</v>
      </c>
      <c r="F197" s="11" t="s">
        <v>577</v>
      </c>
      <c r="G197" s="6" t="s">
        <v>584</v>
      </c>
      <c r="H197" s="6" t="str">
        <f>IF(G197="", "", IF(ISNUMBER(_xlfn.XMATCH(G197, 'Champions Sheet'!H:H)), "Found in Master", "MISSING in Alicia's"))</f>
        <v>MISSING in Alicia's</v>
      </c>
      <c r="I197" s="6" t="str">
        <f>IF(G197="", "", IF(ISNUMBER(_xlfn.XMATCH(G197, 'State Google Tags on Account'!E:E)), "Found in Alicia API Pull", "MISSING in Alicia's API Pull"))</f>
        <v>Found in Alicia API Pull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idden="1">
      <c r="A198" s="8">
        <v>2.9589621E8</v>
      </c>
      <c r="B198" s="8">
        <v>4.50964503E8</v>
      </c>
      <c r="C198" s="6" t="s">
        <v>43</v>
      </c>
      <c r="D198" s="8">
        <v>4.33432958E8</v>
      </c>
      <c r="E198" s="6" t="s">
        <v>581</v>
      </c>
      <c r="F198" s="11" t="s">
        <v>577</v>
      </c>
      <c r="G198" s="6" t="s">
        <v>584</v>
      </c>
      <c r="H198" s="6" t="str">
        <f>IF(G198="", "", IF(ISNUMBER(_xlfn.XMATCH(G198, 'Champions Sheet'!H:H)), "Found in Master", "MISSING in Alicia's"))</f>
        <v>MISSING in Alicia's</v>
      </c>
      <c r="I198" s="6" t="str">
        <f>IF(G198="", "", IF(ISNUMBER(_xlfn.XMATCH(G198, 'State Google Tags on Account'!E:E)), "Found in Alicia API Pull", "MISSING in Alicia's API Pull"))</f>
        <v>Found in Alicia API Pull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idden="1">
      <c r="A199" s="8">
        <v>2.9589621E8</v>
      </c>
      <c r="B199" s="8">
        <v>4.87657823E8</v>
      </c>
      <c r="C199" s="6" t="s">
        <v>333</v>
      </c>
      <c r="D199" s="8">
        <v>2.97490739E8</v>
      </c>
      <c r="E199" s="6" t="s">
        <v>480</v>
      </c>
      <c r="F199" s="11" t="s">
        <v>482</v>
      </c>
      <c r="G199" s="6" t="s">
        <v>488</v>
      </c>
      <c r="H199" s="6" t="str">
        <f>IF(G199="", "", IF(ISNUMBER(_xlfn.XMATCH(G199, 'Champions Sheet'!H:H)), "Found in Master", "MISSING in Alicia's"))</f>
        <v>Found in Master</v>
      </c>
      <c r="I199" s="6" t="str">
        <f>IF(G199="", "", IF(ISNUMBER(_xlfn.XMATCH(G199, 'State Google Tags on Account'!E:E)), "Found in Alicia API Pull", "MISSING in Alicia's API Pull"))</f>
        <v>Found in Alicia API Pull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idden="1">
      <c r="A200" s="8">
        <v>2.9589621E8</v>
      </c>
      <c r="B200" s="8">
        <v>4.50964503E8</v>
      </c>
      <c r="C200" s="6" t="s">
        <v>43</v>
      </c>
      <c r="D200" s="8">
        <v>2.97490739E8</v>
      </c>
      <c r="E200" s="6" t="s">
        <v>480</v>
      </c>
      <c r="F200" s="11" t="s">
        <v>482</v>
      </c>
      <c r="G200" s="6" t="s">
        <v>488</v>
      </c>
      <c r="H200" s="6" t="str">
        <f>IF(G200="", "", IF(ISNUMBER(_xlfn.XMATCH(G200, 'Champions Sheet'!H:H)), "Found in Master", "MISSING in Alicia's"))</f>
        <v>Found in Master</v>
      </c>
      <c r="I200" s="6" t="str">
        <f>IF(G200="", "", IF(ISNUMBER(_xlfn.XMATCH(G200, 'State Google Tags on Account'!E:E)), "Found in Alicia API Pull", "MISSING in Alicia's API Pull"))</f>
        <v>Found in Alicia API Pull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idden="1">
      <c r="A201" s="8">
        <v>2.9589621E8</v>
      </c>
      <c r="B201" s="8">
        <v>4.83039742E8</v>
      </c>
      <c r="C201" s="6" t="s">
        <v>408</v>
      </c>
      <c r="D201" s="8">
        <v>4.33435376E8</v>
      </c>
      <c r="E201" s="6" t="s">
        <v>608</v>
      </c>
      <c r="F201" s="11" t="s">
        <v>604</v>
      </c>
      <c r="G201" s="6" t="s">
        <v>606</v>
      </c>
      <c r="H201" s="6" t="str">
        <f>IF(G201="", "", IF(ISNUMBER(_xlfn.XMATCH(G201, 'Champions Sheet'!H:H)), "Found in Master", "MISSING in Alicia's"))</f>
        <v>MISSING in Alicia's</v>
      </c>
      <c r="I201" s="6" t="str">
        <f>IF(G201="", "", IF(ISNUMBER(_xlfn.XMATCH(G201, 'State Google Tags on Account'!E:E)), "Found in Alicia API Pull", "MISSING in Alicia's API Pull"))</f>
        <v>Found in Alicia API Pull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idden="1">
      <c r="A202" s="8">
        <v>2.9589621E8</v>
      </c>
      <c r="B202" s="8">
        <v>4.50964503E8</v>
      </c>
      <c r="C202" s="6" t="s">
        <v>43</v>
      </c>
      <c r="D202" s="8">
        <v>4.33435376E8</v>
      </c>
      <c r="E202" s="6" t="s">
        <v>608</v>
      </c>
      <c r="F202" s="11" t="s">
        <v>604</v>
      </c>
      <c r="G202" s="6" t="s">
        <v>606</v>
      </c>
      <c r="H202" s="6" t="str">
        <f>IF(G202="", "", IF(ISNUMBER(_xlfn.XMATCH(G202, 'Champions Sheet'!H:H)), "Found in Master", "MISSING in Alicia's"))</f>
        <v>MISSING in Alicia's</v>
      </c>
      <c r="I202" s="6" t="str">
        <f>IF(G202="", "", IF(ISNUMBER(_xlfn.XMATCH(G202, 'State Google Tags on Account'!E:E)), "Found in Alicia API Pull", "MISSING in Alicia's API Pull"))</f>
        <v>Found in Alicia API Pull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8">
        <v>2.9589621E8</v>
      </c>
      <c r="B203" s="8">
        <v>4.82151148E8</v>
      </c>
      <c r="C203" s="6" t="s">
        <v>282</v>
      </c>
      <c r="D203" s="8">
        <v>3.70585777E8</v>
      </c>
      <c r="E203" s="6" t="s">
        <v>1143</v>
      </c>
      <c r="F203" s="6" t="s">
        <v>2083</v>
      </c>
      <c r="G203" s="6" t="s">
        <v>2084</v>
      </c>
      <c r="H203" s="6" t="str">
        <f>IF(G203="", "", IF(ISNUMBER(_xlfn.XMATCH(G203, 'Champions Sheet'!H:H)), "Found in Master", "MISSING in Alicia's"))</f>
        <v>MISSING in Alicia's</v>
      </c>
      <c r="I203" s="5" t="s">
        <v>2085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idden="1">
      <c r="A204" s="8">
        <v>2.9589621E8</v>
      </c>
      <c r="B204" s="8">
        <v>4.50964503E8</v>
      </c>
      <c r="C204" s="6" t="s">
        <v>43</v>
      </c>
      <c r="D204" s="8">
        <v>3.70585777E8</v>
      </c>
      <c r="E204" s="6" t="s">
        <v>1143</v>
      </c>
      <c r="F204" s="6" t="s">
        <v>2083</v>
      </c>
      <c r="G204" s="6" t="s">
        <v>2084</v>
      </c>
      <c r="H204" s="6" t="str">
        <f>IF(G204="", "", IF(ISNUMBER(_xlfn.XMATCH(G204, 'Champions Sheet'!H:H)), "Found in Master", "MISSING in Alicia's"))</f>
        <v>MISSING in Alicia's</v>
      </c>
      <c r="I204" s="6" t="str">
        <f>IF(G204="", "", IF(ISNUMBER(_xlfn.XMATCH(G204, 'State Google Tags on Account'!E:E)), "Found in Alicia API Pull", "MISSING in Alicia's API Pull"))</f>
        <v>MISSING in Alicia's API Pull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idden="1">
      <c r="A205" s="8">
        <v>2.9589621E8</v>
      </c>
      <c r="B205" s="8">
        <v>4.50964503E8</v>
      </c>
      <c r="C205" s="6" t="s">
        <v>43</v>
      </c>
      <c r="D205" s="8">
        <v>3.65089704E8</v>
      </c>
      <c r="E205" s="6" t="s">
        <v>1452</v>
      </c>
      <c r="F205" s="11" t="s">
        <v>1706</v>
      </c>
      <c r="G205" s="6" t="s">
        <v>1707</v>
      </c>
      <c r="H205" s="6" t="str">
        <f>IF(G205="", "", IF(ISNUMBER(_xlfn.XMATCH(G205, 'Champions Sheet'!H:H)), "Found in Master", "MISSING in Alicia's"))</f>
        <v>MISSING in Alicia's</v>
      </c>
      <c r="I205" s="6" t="str">
        <f>IF(G205="", "", IF(ISNUMBER(_xlfn.XMATCH(G205, 'State Google Tags on Account'!E:E)), "Found in Alicia API Pull", "MISSING in Alicia's API Pull"))</f>
        <v>Found in Alicia API Pull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idden="1">
      <c r="A206" s="8">
        <v>2.9589621E8</v>
      </c>
      <c r="B206" s="8">
        <v>4.50964503E8</v>
      </c>
      <c r="C206" s="6" t="s">
        <v>43</v>
      </c>
      <c r="D206" s="8">
        <v>4.68255943E8</v>
      </c>
      <c r="E206" s="6" t="s">
        <v>1714</v>
      </c>
      <c r="F206" s="11" t="s">
        <v>1712</v>
      </c>
      <c r="G206" s="6" t="s">
        <v>1713</v>
      </c>
      <c r="H206" s="6" t="str">
        <f>IF(G206="", "", IF(ISNUMBER(_xlfn.XMATCH(G206, 'Champions Sheet'!H:H)), "Found in Master", "MISSING in Alicia's"))</f>
        <v>MISSING in Alicia's</v>
      </c>
      <c r="I206" s="6" t="str">
        <f>IF(G206="", "", IF(ISNUMBER(_xlfn.XMATCH(G206, 'State Google Tags on Account'!E:E)), "Found in Alicia API Pull", "MISSING in Alicia's API Pull"))</f>
        <v>Found in Alicia API Pull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idden="1">
      <c r="A207" s="8">
        <v>2.9589621E8</v>
      </c>
      <c r="B207" s="8">
        <v>4.83039742E8</v>
      </c>
      <c r="C207" s="6" t="s">
        <v>408</v>
      </c>
      <c r="D207" s="8">
        <v>4.33479223E8</v>
      </c>
      <c r="E207" s="6" t="s">
        <v>678</v>
      </c>
      <c r="F207" s="11" t="s">
        <v>675</v>
      </c>
      <c r="G207" s="6" t="s">
        <v>704</v>
      </c>
      <c r="H207" s="6" t="str">
        <f>IF(G207="", "", IF(ISNUMBER(_xlfn.XMATCH(G207, 'Champions Sheet'!H:H)), "Found in Master", "MISSING in Alicia's"))</f>
        <v>MISSING in Alicia's</v>
      </c>
      <c r="I207" s="6" t="str">
        <f>IF(G207="", "", IF(ISNUMBER(_xlfn.XMATCH(G207, 'State Google Tags on Account'!E:E)), "Found in Alicia API Pull", "MISSING in Alicia's API Pull"))</f>
        <v>Found in Alicia API Pull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idden="1">
      <c r="A208" s="8">
        <v>2.9589621E8</v>
      </c>
      <c r="B208" s="8">
        <v>4.50964503E8</v>
      </c>
      <c r="C208" s="6" t="s">
        <v>43</v>
      </c>
      <c r="D208" s="8">
        <v>4.33479223E8</v>
      </c>
      <c r="E208" s="6" t="s">
        <v>678</v>
      </c>
      <c r="F208" s="11" t="s">
        <v>675</v>
      </c>
      <c r="G208" s="6" t="s">
        <v>704</v>
      </c>
      <c r="H208" s="6" t="str">
        <f>IF(G208="", "", IF(ISNUMBER(_xlfn.XMATCH(G208, 'Champions Sheet'!H:H)), "Found in Master", "MISSING in Alicia's"))</f>
        <v>MISSING in Alicia's</v>
      </c>
      <c r="I208" s="6" t="str">
        <f>IF(G208="", "", IF(ISNUMBER(_xlfn.XMATCH(G208, 'State Google Tags on Account'!E:E)), "Found in Alicia API Pull", "MISSING in Alicia's API Pull"))</f>
        <v>Found in Alicia API Pull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idden="1">
      <c r="A209" s="8">
        <v>2.9589621E8</v>
      </c>
      <c r="B209" s="8">
        <v>4.82352716E8</v>
      </c>
      <c r="C209" s="6" t="s">
        <v>179</v>
      </c>
      <c r="D209" s="8">
        <v>4.87354183E8</v>
      </c>
      <c r="E209" s="6" t="s">
        <v>1027</v>
      </c>
      <c r="F209" s="11" t="s">
        <v>1024</v>
      </c>
      <c r="G209" s="6" t="s">
        <v>1025</v>
      </c>
      <c r="H209" s="6" t="str">
        <f>IF(G209="", "", IF(ISNUMBER(_xlfn.XMATCH(G209, 'Champions Sheet'!H:H)), "Found in Master", "MISSING in Alicia's"))</f>
        <v>MISSING in Alicia's</v>
      </c>
      <c r="I209" s="6" t="str">
        <f>IF(G209="", "", IF(ISNUMBER(_xlfn.XMATCH(G209, 'State Google Tags on Account'!E:E)), "Found in Alicia API Pull", "MISSING in Alicia's API Pull"))</f>
        <v>Found in Alicia API Pull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idden="1">
      <c r="A210" s="8">
        <v>2.9589621E8</v>
      </c>
      <c r="B210" s="8">
        <v>4.50964503E8</v>
      </c>
      <c r="C210" s="6" t="s">
        <v>43</v>
      </c>
      <c r="D210" s="8">
        <v>4.87354183E8</v>
      </c>
      <c r="E210" s="6" t="s">
        <v>1027</v>
      </c>
      <c r="F210" s="11" t="s">
        <v>1024</v>
      </c>
      <c r="G210" s="6" t="s">
        <v>1025</v>
      </c>
      <c r="H210" s="6" t="str">
        <f>IF(G210="", "", IF(ISNUMBER(_xlfn.XMATCH(G210, 'Champions Sheet'!H:H)), "Found in Master", "MISSING in Alicia's"))</f>
        <v>MISSING in Alicia's</v>
      </c>
      <c r="I210" s="6" t="str">
        <f>IF(G210="", "", IF(ISNUMBER(_xlfn.XMATCH(G210, 'State Google Tags on Account'!E:E)), "Found in Alicia API Pull", "MISSING in Alicia's API Pull"))</f>
        <v>Found in Alicia API Pull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idden="1">
      <c r="A211" s="8">
        <v>2.9589621E8</v>
      </c>
      <c r="B211" s="8">
        <v>4.82151148E8</v>
      </c>
      <c r="C211" s="6" t="s">
        <v>282</v>
      </c>
      <c r="D211" s="8">
        <v>3.35396203E8</v>
      </c>
      <c r="E211" s="6" t="s">
        <v>1206</v>
      </c>
      <c r="F211" s="11" t="s">
        <v>1209</v>
      </c>
      <c r="G211" s="6" t="s">
        <v>1218</v>
      </c>
      <c r="H211" s="6" t="str">
        <f>IF(G211="", "", IF(ISNUMBER(_xlfn.XMATCH(G211, 'Champions Sheet'!H:H)), "Found in Master", "MISSING in Alicia's"))</f>
        <v>MISSING in Alicia's</v>
      </c>
      <c r="I211" s="6" t="str">
        <f>IF(G211="", "", IF(ISNUMBER(_xlfn.XMATCH(G211, 'State Google Tags on Account'!E:E)), "Found in Alicia API Pull", "MISSING in Alicia's API Pull"))</f>
        <v>Found in Alicia API Pull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idden="1">
      <c r="A212" s="8">
        <v>2.9589621E8</v>
      </c>
      <c r="B212" s="8">
        <v>4.50964503E8</v>
      </c>
      <c r="C212" s="6" t="s">
        <v>43</v>
      </c>
      <c r="D212" s="8">
        <v>3.35396203E8</v>
      </c>
      <c r="E212" s="6" t="s">
        <v>1206</v>
      </c>
      <c r="F212" s="11" t="s">
        <v>1209</v>
      </c>
      <c r="G212" s="6" t="s">
        <v>1218</v>
      </c>
      <c r="H212" s="6" t="str">
        <f>IF(G212="", "", IF(ISNUMBER(_xlfn.XMATCH(G212, 'Champions Sheet'!H:H)), "Found in Master", "MISSING in Alicia's"))</f>
        <v>MISSING in Alicia's</v>
      </c>
      <c r="I212" s="6" t="str">
        <f>IF(G212="", "", IF(ISNUMBER(_xlfn.XMATCH(G212, 'State Google Tags on Account'!E:E)), "Found in Alicia API Pull", "MISSING in Alicia's API Pull"))</f>
        <v>Found in Alicia API Pull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idden="1">
      <c r="A213" s="8">
        <v>2.9589621E8</v>
      </c>
      <c r="B213" s="8">
        <v>4.50964503E8</v>
      </c>
      <c r="C213" s="6" t="s">
        <v>43</v>
      </c>
      <c r="D213" s="8">
        <v>4.61167456E8</v>
      </c>
      <c r="E213" s="6" t="s">
        <v>1790</v>
      </c>
      <c r="F213" s="11" t="s">
        <v>2100</v>
      </c>
      <c r="G213" s="6" t="s">
        <v>1789</v>
      </c>
      <c r="H213" s="6" t="str">
        <f>IF(G213="", "", IF(ISNUMBER(_xlfn.XMATCH(G213, 'Champions Sheet'!H:H)), "Found in Master", "MISSING in Alicia's"))</f>
        <v>Found in Master</v>
      </c>
      <c r="I213" s="6" t="str">
        <f>IF(G213="", "", IF(ISNUMBER(_xlfn.XMATCH(G213, 'State Google Tags on Account'!E:E)), "Found in Alicia API Pull", "MISSING in Alicia's API Pull"))</f>
        <v>Found in Alicia API Pull</v>
      </c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idden="1">
      <c r="A214" s="8">
        <v>2.9589621E8</v>
      </c>
      <c r="B214" s="8">
        <v>4.87657823E8</v>
      </c>
      <c r="C214" s="6" t="s">
        <v>333</v>
      </c>
      <c r="D214" s="8">
        <v>3.46259813E8</v>
      </c>
      <c r="E214" s="6" t="s">
        <v>1477</v>
      </c>
      <c r="F214" s="11" t="s">
        <v>1480</v>
      </c>
      <c r="G214" s="6" t="s">
        <v>1484</v>
      </c>
      <c r="H214" s="6" t="str">
        <f>IF(G214="", "", IF(ISNUMBER(_xlfn.XMATCH(G214, 'Champions Sheet'!H:H)), "Found in Master", "MISSING in Alicia's"))</f>
        <v>MISSING in Alicia's</v>
      </c>
      <c r="I214" s="6" t="str">
        <f>IF(G214="", "", IF(ISNUMBER(_xlfn.XMATCH(G214, 'State Google Tags on Account'!E:E)), "Found in Alicia API Pull", "MISSING in Alicia's API Pull"))</f>
        <v>Found in Alicia API Pull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idden="1">
      <c r="A215" s="8">
        <v>2.9589621E8</v>
      </c>
      <c r="B215" s="8">
        <v>4.50964503E8</v>
      </c>
      <c r="C215" s="6" t="s">
        <v>43</v>
      </c>
      <c r="D215" s="8">
        <v>3.46259813E8</v>
      </c>
      <c r="E215" s="6" t="s">
        <v>1477</v>
      </c>
      <c r="F215" s="11" t="s">
        <v>1480</v>
      </c>
      <c r="G215" s="6" t="s">
        <v>1484</v>
      </c>
      <c r="H215" s="6" t="str">
        <f>IF(G215="", "", IF(ISNUMBER(_xlfn.XMATCH(G215, 'Champions Sheet'!H:H)), "Found in Master", "MISSING in Alicia's"))</f>
        <v>MISSING in Alicia's</v>
      </c>
      <c r="I215" s="6" t="str">
        <f>IF(G215="", "", IF(ISNUMBER(_xlfn.XMATCH(G215, 'State Google Tags on Account'!E:E)), "Found in Alicia API Pull", "MISSING in Alicia's API Pull"))</f>
        <v>Found in Alicia API Pull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idden="1">
      <c r="A216" s="8">
        <v>2.9589621E8</v>
      </c>
      <c r="B216" s="8">
        <v>4.82352716E8</v>
      </c>
      <c r="C216" s="6" t="s">
        <v>179</v>
      </c>
      <c r="D216" s="8">
        <v>3.4672074E8</v>
      </c>
      <c r="E216" s="6" t="s">
        <v>775</v>
      </c>
      <c r="F216" s="11" t="s">
        <v>1661</v>
      </c>
      <c r="G216" s="6" t="s">
        <v>774</v>
      </c>
      <c r="H216" s="6" t="str">
        <f>IF(G216="", "", IF(ISNUMBER(_xlfn.XMATCH(G216, 'Champions Sheet'!H:H)), "Found in Master", "MISSING in Alicia's"))</f>
        <v>Found in Master</v>
      </c>
      <c r="I216" s="6" t="str">
        <f>IF(G216="", "", IF(ISNUMBER(_xlfn.XMATCH(G216, 'State Google Tags on Account'!E:E)), "Found in Alicia API Pull", "MISSING in Alicia's API Pull"))</f>
        <v>Found in Alicia API Pull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idden="1">
      <c r="A217" s="8">
        <v>2.9589621E8</v>
      </c>
      <c r="B217" s="8">
        <v>4.50964503E8</v>
      </c>
      <c r="C217" s="6" t="s">
        <v>43</v>
      </c>
      <c r="D217" s="8">
        <v>3.4672074E8</v>
      </c>
      <c r="E217" s="6" t="s">
        <v>775</v>
      </c>
      <c r="F217" s="11" t="s">
        <v>1661</v>
      </c>
      <c r="G217" s="6" t="s">
        <v>774</v>
      </c>
      <c r="H217" s="6" t="str">
        <f>IF(G217="", "", IF(ISNUMBER(_xlfn.XMATCH(G217, 'Champions Sheet'!H:H)), "Found in Master", "MISSING in Alicia's"))</f>
        <v>Found in Master</v>
      </c>
      <c r="I217" s="6" t="str">
        <f>IF(G217="", "", IF(ISNUMBER(_xlfn.XMATCH(G217, 'State Google Tags on Account'!E:E)), "Found in Alicia API Pull", "MISSING in Alicia's API Pull"))</f>
        <v>Found in Alicia API Pull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idden="1">
      <c r="A218" s="8">
        <v>2.9589621E8</v>
      </c>
      <c r="B218" s="8">
        <v>4.82352716E8</v>
      </c>
      <c r="C218" s="6" t="s">
        <v>179</v>
      </c>
      <c r="D218" s="8">
        <v>3.46747886E8</v>
      </c>
      <c r="E218" s="6" t="s">
        <v>1002</v>
      </c>
      <c r="F218" s="11" t="s">
        <v>890</v>
      </c>
      <c r="G218" s="6" t="s">
        <v>1000</v>
      </c>
      <c r="H218" s="6" t="str">
        <f>IF(G218="", "", IF(ISNUMBER(_xlfn.XMATCH(G218, 'Champions Sheet'!H:H)), "Found in Master", "MISSING in Alicia's"))</f>
        <v>MISSING in Alicia's</v>
      </c>
      <c r="I218" s="6" t="str">
        <f>IF(G218="", "", IF(ISNUMBER(_xlfn.XMATCH(G218, 'State Google Tags on Account'!E:E)), "Found in Alicia API Pull", "MISSING in Alicia's API Pull"))</f>
        <v>Found in Alicia API Pull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idden="1">
      <c r="A219" s="8">
        <v>2.9589621E8</v>
      </c>
      <c r="B219" s="8">
        <v>4.88601532E8</v>
      </c>
      <c r="C219" s="6" t="s">
        <v>25</v>
      </c>
      <c r="D219" s="8">
        <v>3.46747886E8</v>
      </c>
      <c r="E219" s="6" t="s">
        <v>1002</v>
      </c>
      <c r="F219" s="11" t="s">
        <v>890</v>
      </c>
      <c r="G219" s="6" t="s">
        <v>1000</v>
      </c>
      <c r="H219" s="6" t="str">
        <f>IF(G219="", "", IF(ISNUMBER(_xlfn.XMATCH(G219, 'Champions Sheet'!H:H)), "Found in Master", "MISSING in Alicia's"))</f>
        <v>MISSING in Alicia's</v>
      </c>
      <c r="I219" s="6" t="str">
        <f>IF(G219="", "", IF(ISNUMBER(_xlfn.XMATCH(G219, 'State Google Tags on Account'!E:E)), "Found in Alicia API Pull", "MISSING in Alicia's API Pull"))</f>
        <v>Found in Alicia API Pull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idden="1">
      <c r="A220" s="8">
        <v>2.9589621E8</v>
      </c>
      <c r="B220" s="8">
        <v>4.82352716E8</v>
      </c>
      <c r="C220" s="6" t="s">
        <v>179</v>
      </c>
      <c r="D220" s="8">
        <v>3.58017803E8</v>
      </c>
      <c r="E220" s="6" t="s">
        <v>908</v>
      </c>
      <c r="F220" s="11" t="s">
        <v>904</v>
      </c>
      <c r="G220" s="6" t="s">
        <v>907</v>
      </c>
      <c r="H220" s="6" t="str">
        <f>IF(G220="", "", IF(ISNUMBER(_xlfn.XMATCH(G220, 'Champions Sheet'!H:H)), "Found in Master", "MISSING in Alicia's"))</f>
        <v>Found in Master</v>
      </c>
      <c r="I220" s="6" t="str">
        <f>IF(G220="", "", IF(ISNUMBER(_xlfn.XMATCH(G220, 'State Google Tags on Account'!E:E)), "Found in Alicia API Pull", "MISSING in Alicia's API Pull"))</f>
        <v>Found in Alicia API Pull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idden="1">
      <c r="A221" s="8">
        <v>2.9589621E8</v>
      </c>
      <c r="B221" s="8">
        <v>4.88601532E8</v>
      </c>
      <c r="C221" s="6" t="s">
        <v>25</v>
      </c>
      <c r="D221" s="8">
        <v>3.58017803E8</v>
      </c>
      <c r="E221" s="6" t="s">
        <v>908</v>
      </c>
      <c r="F221" s="11" t="s">
        <v>904</v>
      </c>
      <c r="G221" s="6" t="s">
        <v>907</v>
      </c>
      <c r="H221" s="6" t="str">
        <f>IF(G221="", "", IF(ISNUMBER(_xlfn.XMATCH(G221, 'Champions Sheet'!H:H)), "Found in Master", "MISSING in Alicia's"))</f>
        <v>Found in Master</v>
      </c>
      <c r="I221" s="6" t="str">
        <f>IF(G221="", "", IF(ISNUMBER(_xlfn.XMATCH(G221, 'State Google Tags on Account'!E:E)), "Found in Alicia API Pull", "MISSING in Alicia's API Pull"))</f>
        <v>Found in Alicia API Pull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idden="1">
      <c r="A222" s="8">
        <v>2.9589621E8</v>
      </c>
      <c r="B222" s="8">
        <v>4.82352716E8</v>
      </c>
      <c r="C222" s="6" t="s">
        <v>179</v>
      </c>
      <c r="D222" s="8">
        <v>3.09955218E8</v>
      </c>
      <c r="E222" s="6" t="s">
        <v>627</v>
      </c>
      <c r="F222" s="11" t="s">
        <v>641</v>
      </c>
      <c r="G222" s="6" t="s">
        <v>649</v>
      </c>
      <c r="H222" s="6" t="str">
        <f>IF(G222="", "", IF(ISNUMBER(_xlfn.XMATCH(G222, 'Champions Sheet'!H:H)), "Found in Master", "MISSING in Alicia's"))</f>
        <v>Found in Master</v>
      </c>
      <c r="I222" s="6" t="str">
        <f>IF(G222="", "", IF(ISNUMBER(_xlfn.XMATCH(G222, 'State Google Tags on Account'!E:E)), "Found in Alicia API Pull", "MISSING in Alicia's API Pull"))</f>
        <v>Found in Alicia API Pull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idden="1">
      <c r="A223" s="8">
        <v>2.9589621E8</v>
      </c>
      <c r="B223" s="8">
        <v>4.50964503E8</v>
      </c>
      <c r="C223" s="6" t="s">
        <v>43</v>
      </c>
      <c r="D223" s="8">
        <v>3.09955218E8</v>
      </c>
      <c r="E223" s="6" t="s">
        <v>627</v>
      </c>
      <c r="F223" s="11" t="s">
        <v>641</v>
      </c>
      <c r="G223" s="6" t="s">
        <v>649</v>
      </c>
      <c r="H223" s="6" t="str">
        <f>IF(G223="", "", IF(ISNUMBER(_xlfn.XMATCH(G223, 'Champions Sheet'!H:H)), "Found in Master", "MISSING in Alicia's"))</f>
        <v>Found in Master</v>
      </c>
      <c r="I223" s="6" t="str">
        <f>IF(G223="", "", IF(ISNUMBER(_xlfn.XMATCH(G223, 'State Google Tags on Account'!E:E)), "Found in Alicia API Pull", "MISSING in Alicia's API Pull"))</f>
        <v>Found in Alicia API Pull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idden="1">
      <c r="A224" s="8">
        <v>2.9589621E8</v>
      </c>
      <c r="B224" s="8">
        <v>4.50964503E8</v>
      </c>
      <c r="C224" s="6" t="s">
        <v>43</v>
      </c>
      <c r="D224" s="8">
        <v>4.70822393E8</v>
      </c>
      <c r="E224" s="6" t="s">
        <v>1904</v>
      </c>
      <c r="F224" s="11" t="s">
        <v>1902</v>
      </c>
      <c r="G224" s="6" t="s">
        <v>1903</v>
      </c>
      <c r="H224" s="6" t="str">
        <f>IF(G224="", "", IF(ISNUMBER(_xlfn.XMATCH(G224, 'Champions Sheet'!H:H)), "Found in Master", "MISSING in Alicia's"))</f>
        <v>MISSING in Alicia's</v>
      </c>
      <c r="I224" s="6" t="str">
        <f>IF(G224="", "", IF(ISNUMBER(_xlfn.XMATCH(G224, 'State Google Tags on Account'!E:E)), "Found in Alicia API Pull", "MISSING in Alicia's API Pull"))</f>
        <v>Found in Alicia API Pull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idden="1">
      <c r="A225" s="8">
        <v>2.9589621E8</v>
      </c>
      <c r="B225" s="8">
        <v>4.82352716E8</v>
      </c>
      <c r="C225" s="6" t="s">
        <v>179</v>
      </c>
      <c r="D225" s="8">
        <v>3.53845687E8</v>
      </c>
      <c r="E225" s="6" t="s">
        <v>784</v>
      </c>
      <c r="F225" s="11" t="s">
        <v>780</v>
      </c>
      <c r="G225" s="6" t="s">
        <v>783</v>
      </c>
      <c r="H225" s="6" t="str">
        <f>IF(G225="", "", IF(ISNUMBER(_xlfn.XMATCH(G225, 'Champions Sheet'!H:H)), "Found in Master", "MISSING in Alicia's"))</f>
        <v>Found in Master</v>
      </c>
      <c r="I225" s="6" t="str">
        <f>IF(G225="", "", IF(ISNUMBER(_xlfn.XMATCH(G225, 'State Google Tags on Account'!E:E)), "Found in Alicia API Pull", "MISSING in Alicia's API Pull"))</f>
        <v>Found in Alicia API Pull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idden="1">
      <c r="A226" s="8">
        <v>2.9589621E8</v>
      </c>
      <c r="B226" s="8">
        <v>4.50964503E8</v>
      </c>
      <c r="C226" s="6" t="s">
        <v>43</v>
      </c>
      <c r="D226" s="8">
        <v>3.53845687E8</v>
      </c>
      <c r="E226" s="6" t="s">
        <v>784</v>
      </c>
      <c r="F226" s="11" t="s">
        <v>780</v>
      </c>
      <c r="G226" s="6" t="s">
        <v>783</v>
      </c>
      <c r="H226" s="6" t="str">
        <f>IF(G226="", "", IF(ISNUMBER(_xlfn.XMATCH(G226, 'Champions Sheet'!H:H)), "Found in Master", "MISSING in Alicia's"))</f>
        <v>Found in Master</v>
      </c>
      <c r="I226" s="6" t="str">
        <f>IF(G226="", "", IF(ISNUMBER(_xlfn.XMATCH(G226, 'State Google Tags on Account'!E:E)), "Found in Alicia API Pull", "MISSING in Alicia's API Pull"))</f>
        <v>Found in Alicia API Pull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idden="1">
      <c r="A227" s="8">
        <v>2.9589621E8</v>
      </c>
      <c r="B227" s="8">
        <v>4.82352716E8</v>
      </c>
      <c r="C227" s="6" t="s">
        <v>179</v>
      </c>
      <c r="D227" s="8">
        <v>3.20943163E8</v>
      </c>
      <c r="E227" s="6" t="s">
        <v>861</v>
      </c>
      <c r="F227" s="11" t="s">
        <v>876</v>
      </c>
      <c r="G227" s="6" t="s">
        <v>891</v>
      </c>
      <c r="H227" s="6" t="str">
        <f>IF(G227="", "", IF(ISNUMBER(_xlfn.XMATCH(G227, 'Champions Sheet'!H:H)), "Found in Master", "MISSING in Alicia's"))</f>
        <v>Found in Master</v>
      </c>
      <c r="I227" s="6" t="str">
        <f>IF(G227="", "", IF(ISNUMBER(_xlfn.XMATCH(G227, 'State Google Tags on Account'!E:E)), "Found in Alicia API Pull", "MISSING in Alicia's API Pull"))</f>
        <v>Found in Alicia API Pull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idden="1">
      <c r="A228" s="8">
        <v>2.9589621E8</v>
      </c>
      <c r="B228" s="8">
        <v>4.50964503E8</v>
      </c>
      <c r="C228" s="6" t="s">
        <v>43</v>
      </c>
      <c r="D228" s="8">
        <v>3.20943163E8</v>
      </c>
      <c r="E228" s="6" t="s">
        <v>861</v>
      </c>
      <c r="F228" s="11" t="s">
        <v>876</v>
      </c>
      <c r="G228" s="6" t="s">
        <v>891</v>
      </c>
      <c r="H228" s="6" t="str">
        <f>IF(G228="", "", IF(ISNUMBER(_xlfn.XMATCH(G228, 'Champions Sheet'!H:H)), "Found in Master", "MISSING in Alicia's"))</f>
        <v>Found in Master</v>
      </c>
      <c r="I228" s="6" t="str">
        <f>IF(G228="", "", IF(ISNUMBER(_xlfn.XMATCH(G228, 'State Google Tags on Account'!E:E)), "Found in Alicia API Pull", "MISSING in Alicia's API Pull"))</f>
        <v>Found in Alicia API Pull</v>
      </c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idden="1">
      <c r="A229" s="8">
        <v>2.9589621E8</v>
      </c>
      <c r="B229" s="8">
        <v>4.50964503E8</v>
      </c>
      <c r="C229" s="6" t="s">
        <v>43</v>
      </c>
      <c r="D229" s="8">
        <v>5.12063137E8</v>
      </c>
      <c r="E229" s="6" t="s">
        <v>1348</v>
      </c>
      <c r="F229" s="11" t="s">
        <v>1358</v>
      </c>
      <c r="G229" s="6" t="s">
        <v>1346</v>
      </c>
      <c r="H229" s="6" t="str">
        <f>IF(G229="", "", IF(ISNUMBER(_xlfn.XMATCH(G229, 'Champions Sheet'!H:H)), "Found in Master", "MISSING in Alicia's"))</f>
        <v>Found in Master</v>
      </c>
      <c r="I229" s="6" t="str">
        <f>IF(G229="", "", IF(ISNUMBER(_xlfn.XMATCH(G229, 'State Google Tags on Account'!E:E)), "Found in Alicia API Pull", "MISSING in Alicia's API Pull"))</f>
        <v>Found in Alicia API Pull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idden="1">
      <c r="A230" s="8">
        <v>2.9589621E8</v>
      </c>
      <c r="B230" s="8">
        <v>4.83012671E8</v>
      </c>
      <c r="C230" s="6" t="s">
        <v>462</v>
      </c>
      <c r="D230" s="8">
        <v>3.46173985E8</v>
      </c>
      <c r="E230" s="6" t="s">
        <v>96</v>
      </c>
      <c r="F230" s="11" t="s">
        <v>93</v>
      </c>
      <c r="G230" s="6" t="s">
        <v>95</v>
      </c>
      <c r="H230" s="6" t="str">
        <f>IF(G230="", "", IF(ISNUMBER(_xlfn.XMATCH(G230, 'Champions Sheet'!H:H)), "Found in Master", "MISSING in Alicia's"))</f>
        <v>MISSING in Alicia's</v>
      </c>
      <c r="I230" s="6" t="str">
        <f>IF(G230="", "", IF(ISNUMBER(_xlfn.XMATCH(G230, 'State Google Tags on Account'!E:E)), "Found in Alicia API Pull", "MISSING in Alicia's API Pull"))</f>
        <v>Found in Alicia API Pull</v>
      </c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idden="1">
      <c r="A231" s="8">
        <v>2.9589621E8</v>
      </c>
      <c r="B231" s="8">
        <v>4.50964503E8</v>
      </c>
      <c r="C231" s="6" t="s">
        <v>43</v>
      </c>
      <c r="D231" s="8">
        <v>3.46173985E8</v>
      </c>
      <c r="E231" s="6" t="s">
        <v>96</v>
      </c>
      <c r="F231" s="11" t="s">
        <v>93</v>
      </c>
      <c r="G231" s="6" t="s">
        <v>95</v>
      </c>
      <c r="H231" s="6" t="str">
        <f>IF(G231="", "", IF(ISNUMBER(_xlfn.XMATCH(G231, 'Champions Sheet'!H:H)), "Found in Master", "MISSING in Alicia's"))</f>
        <v>MISSING in Alicia's</v>
      </c>
      <c r="I231" s="6" t="str">
        <f>IF(G231="", "", IF(ISNUMBER(_xlfn.XMATCH(G231, 'State Google Tags on Account'!E:E)), "Found in Alicia API Pull", "MISSING in Alicia's API Pull"))</f>
        <v>Found in Alicia API Pull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idden="1">
      <c r="A232" s="8">
        <v>2.9589621E8</v>
      </c>
      <c r="B232" s="8">
        <v>4.83012671E8</v>
      </c>
      <c r="C232" s="6" t="s">
        <v>462</v>
      </c>
      <c r="D232" s="8">
        <v>3.46181673E8</v>
      </c>
      <c r="E232" s="6" t="s">
        <v>125</v>
      </c>
      <c r="F232" s="11" t="s">
        <v>121</v>
      </c>
      <c r="G232" s="6" t="s">
        <v>124</v>
      </c>
      <c r="H232" s="6" t="str">
        <f>IF(G232="", "", IF(ISNUMBER(_xlfn.XMATCH(G232, 'Champions Sheet'!H:H)), "Found in Master", "MISSING in Alicia's"))</f>
        <v>MISSING in Alicia's</v>
      </c>
      <c r="I232" s="6" t="str">
        <f>IF(G232="", "", IF(ISNUMBER(_xlfn.XMATCH(G232, 'State Google Tags on Account'!E:E)), "Found in Alicia API Pull", "MISSING in Alicia's API Pull"))</f>
        <v>Found in Alicia API Pull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idden="1">
      <c r="A233" s="8">
        <v>2.9589621E8</v>
      </c>
      <c r="B233" s="8">
        <v>4.50964503E8</v>
      </c>
      <c r="C233" s="6" t="s">
        <v>43</v>
      </c>
      <c r="D233" s="8">
        <v>3.46181673E8</v>
      </c>
      <c r="E233" s="6" t="s">
        <v>125</v>
      </c>
      <c r="F233" s="11" t="s">
        <v>121</v>
      </c>
      <c r="G233" s="6" t="s">
        <v>124</v>
      </c>
      <c r="H233" s="6" t="str">
        <f>IF(G233="", "", IF(ISNUMBER(_xlfn.XMATCH(G233, 'Champions Sheet'!H:H)), "Found in Master", "MISSING in Alicia's"))</f>
        <v>MISSING in Alicia's</v>
      </c>
      <c r="I233" s="6" t="str">
        <f>IF(G233="", "", IF(ISNUMBER(_xlfn.XMATCH(G233, 'State Google Tags on Account'!E:E)), "Found in Alicia API Pull", "MISSING in Alicia's API Pull"))</f>
        <v>Found in Alicia API Pull</v>
      </c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idden="1">
      <c r="A234" s="8">
        <v>2.9589621E8</v>
      </c>
      <c r="B234" s="8">
        <v>4.82352716E8</v>
      </c>
      <c r="C234" s="6" t="s">
        <v>179</v>
      </c>
      <c r="D234" s="8">
        <v>3.46721705E8</v>
      </c>
      <c r="E234" s="6" t="s">
        <v>797</v>
      </c>
      <c r="F234" s="11" t="s">
        <v>794</v>
      </c>
      <c r="G234" s="6" t="s">
        <v>962</v>
      </c>
      <c r="H234" s="6" t="str">
        <f>IF(G234="", "", IF(ISNUMBER(_xlfn.XMATCH(G234, 'Champions Sheet'!H:H)), "Found in Master", "MISSING in Alicia's"))</f>
        <v>MISSING in Alicia's</v>
      </c>
      <c r="I234" s="6" t="str">
        <f>IF(G234="", "", IF(ISNUMBER(_xlfn.XMATCH(G234, 'State Google Tags on Account'!E:E)), "Found in Alicia API Pull", "MISSING in Alicia's API Pull"))</f>
        <v>Found in Alicia API Pull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idden="1">
      <c r="A235" s="8">
        <v>2.9589621E8</v>
      </c>
      <c r="B235" s="8">
        <v>4.88601532E8</v>
      </c>
      <c r="C235" s="6" t="s">
        <v>25</v>
      </c>
      <c r="D235" s="8">
        <v>3.46721705E8</v>
      </c>
      <c r="E235" s="6" t="s">
        <v>797</v>
      </c>
      <c r="F235" s="11" t="s">
        <v>794</v>
      </c>
      <c r="G235" s="6" t="s">
        <v>962</v>
      </c>
      <c r="H235" s="6" t="str">
        <f>IF(G235="", "", IF(ISNUMBER(_xlfn.XMATCH(G235, 'Champions Sheet'!H:H)), "Found in Master", "MISSING in Alicia's"))</f>
        <v>MISSING in Alicia's</v>
      </c>
      <c r="I235" s="6" t="str">
        <f>IF(G235="", "", IF(ISNUMBER(_xlfn.XMATCH(G235, 'State Google Tags on Account'!E:E)), "Found in Alicia API Pull", "MISSING in Alicia's API Pull"))</f>
        <v>Found in Alicia API Pull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idden="1">
      <c r="A236" s="8">
        <v>2.9589621E8</v>
      </c>
      <c r="B236" s="8">
        <v>4.83039742E8</v>
      </c>
      <c r="C236" s="6" t="s">
        <v>408</v>
      </c>
      <c r="D236" s="8">
        <v>3.46363622E8</v>
      </c>
      <c r="E236" s="6" t="s">
        <v>612</v>
      </c>
      <c r="F236" s="11" t="s">
        <v>610</v>
      </c>
      <c r="G236" s="6" t="s">
        <v>611</v>
      </c>
      <c r="H236" s="6" t="str">
        <f>IF(G236="", "", IF(ISNUMBER(_xlfn.XMATCH(G236, 'Champions Sheet'!H:H)), "Found in Master", "MISSING in Alicia's"))</f>
        <v>MISSING in Alicia's</v>
      </c>
      <c r="I236" s="6" t="str">
        <f>IF(G236="", "", IF(ISNUMBER(_xlfn.XMATCH(G236, 'State Google Tags on Account'!E:E)), "Found in Alicia API Pull", "MISSING in Alicia's API Pull"))</f>
        <v>Found in Alicia API Pull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idden="1">
      <c r="A237" s="8">
        <v>2.9589621E8</v>
      </c>
      <c r="B237" s="8">
        <v>4.50964503E8</v>
      </c>
      <c r="C237" s="6" t="s">
        <v>43</v>
      </c>
      <c r="D237" s="8">
        <v>3.46363622E8</v>
      </c>
      <c r="E237" s="6" t="s">
        <v>612</v>
      </c>
      <c r="F237" s="11" t="s">
        <v>610</v>
      </c>
      <c r="G237" s="6" t="s">
        <v>611</v>
      </c>
      <c r="H237" s="6" t="str">
        <f>IF(G237="", "", IF(ISNUMBER(_xlfn.XMATCH(G237, 'Champions Sheet'!H:H)), "Found in Master", "MISSING in Alicia's"))</f>
        <v>MISSING in Alicia's</v>
      </c>
      <c r="I237" s="6" t="str">
        <f>IF(G237="", "", IF(ISNUMBER(_xlfn.XMATCH(G237, 'State Google Tags on Account'!E:E)), "Found in Alicia API Pull", "MISSING in Alicia's API Pull"))</f>
        <v>Found in Alicia API Pull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idden="1">
      <c r="A238" s="8">
        <v>2.9589621E8</v>
      </c>
      <c r="B238" s="8">
        <v>4.82352716E8</v>
      </c>
      <c r="C238" s="6" t="s">
        <v>179</v>
      </c>
      <c r="D238" s="8">
        <v>4.1330159E8</v>
      </c>
      <c r="E238" s="6" t="s">
        <v>894</v>
      </c>
      <c r="F238" s="11" t="s">
        <v>2105</v>
      </c>
      <c r="G238" s="6" t="s">
        <v>893</v>
      </c>
      <c r="H238" s="6" t="str">
        <f>IF(G238="", "", IF(ISNUMBER(_xlfn.XMATCH(G238, 'Champions Sheet'!H:H)), "Found in Master", "MISSING in Alicia's"))</f>
        <v>Found in Master</v>
      </c>
      <c r="I238" s="6" t="str">
        <f>IF(G238="", "", IF(ISNUMBER(_xlfn.XMATCH(G238, 'State Google Tags on Account'!E:E)), "Found in Alicia API Pull", "MISSING in Alicia's API Pull"))</f>
        <v>Found in Alicia API Pull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idden="1">
      <c r="A239" s="8">
        <v>2.9589621E8</v>
      </c>
      <c r="B239" s="8">
        <v>4.88601532E8</v>
      </c>
      <c r="C239" s="6" t="s">
        <v>25</v>
      </c>
      <c r="D239" s="8">
        <v>4.1330159E8</v>
      </c>
      <c r="E239" s="6" t="s">
        <v>894</v>
      </c>
      <c r="F239" s="11" t="s">
        <v>2105</v>
      </c>
      <c r="G239" s="6" t="s">
        <v>893</v>
      </c>
      <c r="H239" s="6" t="str">
        <f>IF(G239="", "", IF(ISNUMBER(_xlfn.XMATCH(G239, 'Champions Sheet'!H:H)), "Found in Master", "MISSING in Alicia's"))</f>
        <v>Found in Master</v>
      </c>
      <c r="I239" s="6" t="str">
        <f>IF(G239="", "", IF(ISNUMBER(_xlfn.XMATCH(G239, 'State Google Tags on Account'!E:E)), "Found in Alicia API Pull", "MISSING in Alicia's API Pull"))</f>
        <v>Found in Alicia API Pull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idden="1">
      <c r="A240" s="8">
        <v>2.9589621E8</v>
      </c>
      <c r="B240" s="8">
        <v>4.88601532E8</v>
      </c>
      <c r="C240" s="6" t="s">
        <v>25</v>
      </c>
      <c r="D240" s="8">
        <v>3.46726197E8</v>
      </c>
      <c r="E240" s="6" t="s">
        <v>255</v>
      </c>
      <c r="F240" s="11" t="s">
        <v>253</v>
      </c>
      <c r="G240" s="6" t="s">
        <v>254</v>
      </c>
      <c r="H240" s="6" t="str">
        <f>IF(G240="", "", IF(ISNUMBER(_xlfn.XMATCH(G240, 'Champions Sheet'!H:H)), "Found in Master", "MISSING in Alicia's"))</f>
        <v>MISSING in Alicia's</v>
      </c>
      <c r="I240" s="6" t="str">
        <f>IF(G240="", "", IF(ISNUMBER(_xlfn.XMATCH(G240, 'State Google Tags on Account'!E:E)), "Found in Alicia API Pull", "MISSING in Alicia's API Pull"))</f>
        <v>Found in Alicia API Pull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idden="1">
      <c r="A241" s="8">
        <v>2.9589621E8</v>
      </c>
      <c r="B241" s="8">
        <v>4.83012671E8</v>
      </c>
      <c r="C241" s="6" t="s">
        <v>462</v>
      </c>
      <c r="D241" s="8">
        <v>3.07004292E8</v>
      </c>
      <c r="E241" s="6" t="s">
        <v>132</v>
      </c>
      <c r="F241" s="11" t="s">
        <v>130</v>
      </c>
      <c r="G241" s="6" t="s">
        <v>131</v>
      </c>
      <c r="H241" s="6" t="str">
        <f>IF(G241="", "", IF(ISNUMBER(_xlfn.XMATCH(G241, 'Champions Sheet'!H:H)), "Found in Master", "MISSING in Alicia's"))</f>
        <v>MISSING in Alicia's</v>
      </c>
      <c r="I241" s="6" t="str">
        <f>IF(G241="", "", IF(ISNUMBER(_xlfn.XMATCH(G241, 'State Google Tags on Account'!E:E)), "Found in Alicia API Pull", "MISSING in Alicia's API Pull"))</f>
        <v>Found in Alicia API Pull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idden="1">
      <c r="A242" s="8">
        <v>2.9589621E8</v>
      </c>
      <c r="B242" s="8">
        <v>4.50964503E8</v>
      </c>
      <c r="C242" s="6" t="s">
        <v>43</v>
      </c>
      <c r="D242" s="8">
        <v>3.07004292E8</v>
      </c>
      <c r="E242" s="6" t="s">
        <v>132</v>
      </c>
      <c r="F242" s="11" t="s">
        <v>130</v>
      </c>
      <c r="G242" s="6" t="s">
        <v>131</v>
      </c>
      <c r="H242" s="6" t="str">
        <f>IF(G242="", "", IF(ISNUMBER(_xlfn.XMATCH(G242, 'Champions Sheet'!H:H)), "Found in Master", "MISSING in Alicia's"))</f>
        <v>MISSING in Alicia's</v>
      </c>
      <c r="I242" s="6" t="str">
        <f>IF(G242="", "", IF(ISNUMBER(_xlfn.XMATCH(G242, 'State Google Tags on Account'!E:E)), "Found in Alicia API Pull", "MISSING in Alicia's API Pull"))</f>
        <v>Found in Alicia API Pull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idden="1">
      <c r="A243" s="8">
        <v>2.9589621E8</v>
      </c>
      <c r="B243" s="8">
        <v>4.82352716E8</v>
      </c>
      <c r="C243" s="6" t="s">
        <v>179</v>
      </c>
      <c r="D243" s="8">
        <v>3.65177443E8</v>
      </c>
      <c r="E243" s="6" t="s">
        <v>809</v>
      </c>
      <c r="F243" s="11" t="s">
        <v>804</v>
      </c>
      <c r="G243" s="6" t="s">
        <v>807</v>
      </c>
      <c r="H243" s="6" t="str">
        <f>IF(G243="", "", IF(ISNUMBER(_xlfn.XMATCH(G243, 'Champions Sheet'!H:H)), "Found in Master", "MISSING in Alicia's"))</f>
        <v>Found in Master</v>
      </c>
      <c r="I243" s="6" t="str">
        <f>IF(G243="", "", IF(ISNUMBER(_xlfn.XMATCH(G243, 'State Google Tags on Account'!E:E)), "Found in Alicia API Pull", "MISSING in Alicia's API Pull"))</f>
        <v>Found in Alicia API Pull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idden="1">
      <c r="A244" s="8">
        <v>2.9589621E8</v>
      </c>
      <c r="B244" s="8">
        <v>4.50964503E8</v>
      </c>
      <c r="C244" s="6" t="s">
        <v>43</v>
      </c>
      <c r="D244" s="8">
        <v>3.65177443E8</v>
      </c>
      <c r="E244" s="6" t="s">
        <v>809</v>
      </c>
      <c r="F244" s="11" t="s">
        <v>804</v>
      </c>
      <c r="G244" s="6" t="s">
        <v>807</v>
      </c>
      <c r="H244" s="6" t="str">
        <f>IF(G244="", "", IF(ISNUMBER(_xlfn.XMATCH(G244, 'Champions Sheet'!H:H)), "Found in Master", "MISSING in Alicia's"))</f>
        <v>Found in Master</v>
      </c>
      <c r="I244" s="6" t="str">
        <f>IF(G244="", "", IF(ISNUMBER(_xlfn.XMATCH(G244, 'State Google Tags on Account'!E:E)), "Found in Alicia API Pull", "MISSING in Alicia's API Pull"))</f>
        <v>Found in Alicia API Pull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idden="1">
      <c r="A245" s="8">
        <v>2.9589621E8</v>
      </c>
      <c r="B245" s="8">
        <v>4.50964503E8</v>
      </c>
      <c r="C245" s="6" t="s">
        <v>43</v>
      </c>
      <c r="D245" s="8">
        <v>2.92122016E8</v>
      </c>
      <c r="E245" s="6" t="s">
        <v>380</v>
      </c>
      <c r="F245" s="11" t="s">
        <v>390</v>
      </c>
      <c r="G245" s="6" t="s">
        <v>406</v>
      </c>
      <c r="H245" s="6" t="str">
        <f>IF(G245="", "", IF(ISNUMBER(_xlfn.XMATCH(G245, 'Champions Sheet'!H:H)), "Found in Master", "MISSING in Alicia's"))</f>
        <v>Found in Master</v>
      </c>
      <c r="I245" s="6" t="str">
        <f>IF(G245="", "", IF(ISNUMBER(_xlfn.XMATCH(G245, 'State Google Tags on Account'!E:E)), "Found in Alicia API Pull", "MISSING in Alicia's API Pull"))</f>
        <v>Found in Alicia API Pull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idden="1">
      <c r="A246" s="8">
        <v>2.9589621E8</v>
      </c>
      <c r="B246" s="8">
        <v>4.57684582E8</v>
      </c>
      <c r="C246" s="6" t="s">
        <v>2118</v>
      </c>
      <c r="D246" s="8">
        <v>2.92122016E8</v>
      </c>
      <c r="E246" s="6" t="s">
        <v>380</v>
      </c>
      <c r="F246" s="11" t="s">
        <v>390</v>
      </c>
      <c r="G246" s="6" t="s">
        <v>406</v>
      </c>
      <c r="H246" s="6" t="str">
        <f>IF(G246="", "", IF(ISNUMBER(_xlfn.XMATCH(G246, 'Champions Sheet'!H:H)), "Found in Master", "MISSING in Alicia's"))</f>
        <v>Found in Master</v>
      </c>
      <c r="I246" s="6" t="str">
        <f>IF(G246="", "", IF(ISNUMBER(_xlfn.XMATCH(G246, 'State Google Tags on Account'!E:E)), "Found in Alicia API Pull", "MISSING in Alicia's API Pull"))</f>
        <v>Found in Alicia API Pull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idden="1">
      <c r="A247" s="8">
        <v>2.9589621E8</v>
      </c>
      <c r="B247" s="8">
        <v>4.83012671E8</v>
      </c>
      <c r="C247" s="6" t="s">
        <v>462</v>
      </c>
      <c r="D247" s="8">
        <v>3.46560657E8</v>
      </c>
      <c r="E247" s="6" t="s">
        <v>60</v>
      </c>
      <c r="F247" s="11" t="s">
        <v>56</v>
      </c>
      <c r="G247" s="6" t="s">
        <v>59</v>
      </c>
      <c r="H247" s="6" t="str">
        <f>IF(G247="", "", IF(ISNUMBER(_xlfn.XMATCH(G247, 'Champions Sheet'!H:H)), "Found in Master", "MISSING in Alicia's"))</f>
        <v>Found in Master</v>
      </c>
      <c r="I247" s="6" t="str">
        <f>IF(G247="", "", IF(ISNUMBER(_xlfn.XMATCH(G247, 'State Google Tags on Account'!E:E)), "Found in Alicia API Pull", "MISSING in Alicia's API Pull"))</f>
        <v>Found in Alicia API Pull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idden="1">
      <c r="A248" s="8">
        <v>2.9589621E8</v>
      </c>
      <c r="B248" s="8">
        <v>4.50964503E8</v>
      </c>
      <c r="C248" s="6" t="s">
        <v>43</v>
      </c>
      <c r="D248" s="8">
        <v>3.46560657E8</v>
      </c>
      <c r="E248" s="6" t="s">
        <v>60</v>
      </c>
      <c r="F248" s="11" t="s">
        <v>56</v>
      </c>
      <c r="G248" s="6" t="s">
        <v>59</v>
      </c>
      <c r="H248" s="6" t="str">
        <f>IF(G248="", "", IF(ISNUMBER(_xlfn.XMATCH(G248, 'Champions Sheet'!H:H)), "Found in Master", "MISSING in Alicia's"))</f>
        <v>Found in Master</v>
      </c>
      <c r="I248" s="6" t="str">
        <f>IF(G248="", "", IF(ISNUMBER(_xlfn.XMATCH(G248, 'State Google Tags on Account'!E:E)), "Found in Alicia API Pull", "MISSING in Alicia's API Pull"))</f>
        <v>Found in Alicia API Pull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idden="1">
      <c r="A249" s="8">
        <v>2.9589621E8</v>
      </c>
      <c r="B249" s="8">
        <v>4.82352716E8</v>
      </c>
      <c r="C249" s="6" t="s">
        <v>179</v>
      </c>
      <c r="D249" s="8">
        <v>3.46815418E8</v>
      </c>
      <c r="E249" s="6" t="s">
        <v>898</v>
      </c>
      <c r="F249" s="11" t="s">
        <v>896</v>
      </c>
      <c r="G249" s="6" t="s">
        <v>897</v>
      </c>
      <c r="H249" s="6" t="str">
        <f>IF(G249="", "", IF(ISNUMBER(_xlfn.XMATCH(G249, 'Champions Sheet'!H:H)), "Found in Master", "MISSING in Alicia's"))</f>
        <v>MISSING in Alicia's</v>
      </c>
      <c r="I249" s="6" t="str">
        <f>IF(G249="", "", IF(ISNUMBER(_xlfn.XMATCH(G249, 'State Google Tags on Account'!E:E)), "Found in Alicia API Pull", "MISSING in Alicia's API Pull"))</f>
        <v>Found in Alicia API Pull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idden="1">
      <c r="A250" s="8">
        <v>2.9589621E8</v>
      </c>
      <c r="B250" s="8">
        <v>4.50964503E8</v>
      </c>
      <c r="C250" s="6" t="s">
        <v>43</v>
      </c>
      <c r="D250" s="8">
        <v>3.46815418E8</v>
      </c>
      <c r="E250" s="6" t="s">
        <v>898</v>
      </c>
      <c r="F250" s="11" t="s">
        <v>896</v>
      </c>
      <c r="G250" s="6" t="s">
        <v>897</v>
      </c>
      <c r="H250" s="6" t="str">
        <f>IF(G250="", "", IF(ISNUMBER(_xlfn.XMATCH(G250, 'Champions Sheet'!H:H)), "Found in Master", "MISSING in Alicia's"))</f>
        <v>MISSING in Alicia's</v>
      </c>
      <c r="I250" s="6" t="str">
        <f>IF(G250="", "", IF(ISNUMBER(_xlfn.XMATCH(G250, 'State Google Tags on Account'!E:E)), "Found in Alicia API Pull", "MISSING in Alicia's API Pull"))</f>
        <v>Found in Alicia API Pull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idden="1">
      <c r="A251" s="8">
        <v>2.9589621E8</v>
      </c>
      <c r="B251" s="8">
        <v>4.50964503E8</v>
      </c>
      <c r="C251" s="6" t="s">
        <v>43</v>
      </c>
      <c r="D251" s="8">
        <v>3.46141635E8</v>
      </c>
      <c r="E251" s="6" t="s">
        <v>1374</v>
      </c>
      <c r="F251" s="11" t="s">
        <v>1377</v>
      </c>
      <c r="G251" s="6" t="s">
        <v>1383</v>
      </c>
      <c r="H251" s="6" t="str">
        <f>IF(G251="", "", IF(ISNUMBER(_xlfn.XMATCH(G251, 'Champions Sheet'!H:H)), "Found in Master", "MISSING in Alicia's"))</f>
        <v>MISSING in Alicia's</v>
      </c>
      <c r="I251" s="6" t="str">
        <f>IF(G251="", "", IF(ISNUMBER(_xlfn.XMATCH(G251, 'State Google Tags on Account'!E:E)), "Found in Alicia API Pull", "MISSING in Alicia's API Pull"))</f>
        <v>Found in Alicia API Pull</v>
      </c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idden="1">
      <c r="A252" s="8">
        <v>2.9589621E8</v>
      </c>
      <c r="B252" s="8">
        <v>4.88601532E8</v>
      </c>
      <c r="C252" s="6" t="s">
        <v>25</v>
      </c>
      <c r="D252" s="8">
        <v>4.70607443E8</v>
      </c>
      <c r="E252" s="6" t="s">
        <v>1927</v>
      </c>
      <c r="F252" s="11" t="s">
        <v>1925</v>
      </c>
      <c r="G252" s="6" t="s">
        <v>1926</v>
      </c>
      <c r="H252" s="6" t="str">
        <f>IF(G252="", "", IF(ISNUMBER(_xlfn.XMATCH(G252, 'Champions Sheet'!H:H)), "Found in Master", "MISSING in Alicia's"))</f>
        <v>MISSING in Alicia's</v>
      </c>
      <c r="I252" s="6" t="str">
        <f>IF(G252="", "", IF(ISNUMBER(_xlfn.XMATCH(G252, 'State Google Tags on Account'!E:E)), "Found in Alicia API Pull", "MISSING in Alicia's API Pull"))</f>
        <v>Found in Alicia API Pull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idden="1">
      <c r="A253" s="8">
        <v>2.9589621E8</v>
      </c>
      <c r="B253" s="8">
        <v>4.88601532E8</v>
      </c>
      <c r="C253" s="6" t="s">
        <v>25</v>
      </c>
      <c r="D253" s="8">
        <v>3.64204699E8</v>
      </c>
      <c r="E253" s="6" t="s">
        <v>1931</v>
      </c>
      <c r="F253" s="11" t="s">
        <v>1929</v>
      </c>
      <c r="G253" s="6" t="s">
        <v>1930</v>
      </c>
      <c r="H253" s="6" t="str">
        <f>IF(G253="", "", IF(ISNUMBER(_xlfn.XMATCH(G253, 'Champions Sheet'!H:H)), "Found in Master", "MISSING in Alicia's"))</f>
        <v>MISSING in Alicia's</v>
      </c>
      <c r="I253" s="6" t="str">
        <f>IF(G253="", "", IF(ISNUMBER(_xlfn.XMATCH(G253, 'State Google Tags on Account'!E:E)), "Found in Alicia API Pull", "MISSING in Alicia's API Pull"))</f>
        <v>Found in Alicia API Pull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idden="1">
      <c r="A254" s="8">
        <v>2.9589621E8</v>
      </c>
      <c r="B254" s="8">
        <v>4.83039742E8</v>
      </c>
      <c r="C254" s="6" t="s">
        <v>408</v>
      </c>
      <c r="D254" s="8">
        <v>2.85630746E8</v>
      </c>
      <c r="E254" s="6" t="s">
        <v>308</v>
      </c>
      <c r="F254" s="11" t="s">
        <v>310</v>
      </c>
      <c r="G254" s="6" t="s">
        <v>318</v>
      </c>
      <c r="H254" s="6" t="str">
        <f>IF(G254="", "", IF(ISNUMBER(_xlfn.XMATCH(G254, 'Champions Sheet'!H:H)), "Found in Master", "MISSING in Alicia's"))</f>
        <v>Found in Master</v>
      </c>
      <c r="I254" s="6" t="str">
        <f>IF(G254="", "", IF(ISNUMBER(_xlfn.XMATCH(G254, 'State Google Tags on Account'!E:E)), "Found in Alicia API Pull", "MISSING in Alicia's API Pull"))</f>
        <v>Found in Alicia API Pull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idden="1">
      <c r="A255" s="8">
        <v>2.9589621E8</v>
      </c>
      <c r="B255" s="8">
        <v>4.50964503E8</v>
      </c>
      <c r="C255" s="6" t="s">
        <v>43</v>
      </c>
      <c r="D255" s="8">
        <v>2.85630746E8</v>
      </c>
      <c r="E255" s="6" t="s">
        <v>308</v>
      </c>
      <c r="F255" s="11" t="s">
        <v>310</v>
      </c>
      <c r="G255" s="6" t="s">
        <v>318</v>
      </c>
      <c r="H255" s="6" t="str">
        <f>IF(G255="", "", IF(ISNUMBER(_xlfn.XMATCH(G255, 'Champions Sheet'!H:H)), "Found in Master", "MISSING in Alicia's"))</f>
        <v>Found in Master</v>
      </c>
      <c r="I255" s="6" t="str">
        <f>IF(G255="", "", IF(ISNUMBER(_xlfn.XMATCH(G255, 'State Google Tags on Account'!E:E)), "Found in Alicia API Pull", "MISSING in Alicia's API Pull"))</f>
        <v>Found in Alicia API Pull</v>
      </c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idden="1">
      <c r="A256" s="8">
        <v>2.9589621E8</v>
      </c>
      <c r="B256" s="8">
        <v>4.87657823E8</v>
      </c>
      <c r="C256" s="6" t="s">
        <v>333</v>
      </c>
      <c r="D256" s="8">
        <v>3.14570291E8</v>
      </c>
      <c r="E256" s="6" t="s">
        <v>661</v>
      </c>
      <c r="F256" s="11" t="s">
        <v>663</v>
      </c>
      <c r="G256" s="6" t="s">
        <v>672</v>
      </c>
      <c r="H256" s="6" t="str">
        <f>IF(G256="", "", IF(ISNUMBER(_xlfn.XMATCH(G256, 'Champions Sheet'!H:H)), "Found in Master", "MISSING in Alicia's"))</f>
        <v>Found in Master</v>
      </c>
      <c r="I256" s="6" t="str">
        <f>IF(G256="", "", IF(ISNUMBER(_xlfn.XMATCH(G256, 'State Google Tags on Account'!E:E)), "Found in Alicia API Pull", "MISSING in Alicia's API Pull"))</f>
        <v>Found in Alicia API Pull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idden="1">
      <c r="A257" s="8">
        <v>2.9589621E8</v>
      </c>
      <c r="B257" s="8">
        <v>4.50964503E8</v>
      </c>
      <c r="C257" s="6" t="s">
        <v>43</v>
      </c>
      <c r="D257" s="8">
        <v>3.14570291E8</v>
      </c>
      <c r="E257" s="6" t="s">
        <v>661</v>
      </c>
      <c r="F257" s="11" t="s">
        <v>663</v>
      </c>
      <c r="G257" s="6" t="s">
        <v>672</v>
      </c>
      <c r="H257" s="6" t="str">
        <f>IF(G257="", "", IF(ISNUMBER(_xlfn.XMATCH(G257, 'Champions Sheet'!H:H)), "Found in Master", "MISSING in Alicia's"))</f>
        <v>Found in Master</v>
      </c>
      <c r="I257" s="6" t="str">
        <f>IF(G257="", "", IF(ISNUMBER(_xlfn.XMATCH(G257, 'State Google Tags on Account'!E:E)), "Found in Alicia API Pull", "MISSING in Alicia's API Pull"))</f>
        <v>Found in Alicia API Pull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idden="1">
      <c r="A258" s="8">
        <v>2.9589621E8</v>
      </c>
      <c r="B258" s="8">
        <v>4.50964503E8</v>
      </c>
      <c r="C258" s="6" t="s">
        <v>43</v>
      </c>
      <c r="D258" s="8">
        <v>4.54771591E8</v>
      </c>
      <c r="E258" s="6" t="s">
        <v>1935</v>
      </c>
      <c r="F258" s="11" t="s">
        <v>1933</v>
      </c>
      <c r="G258" s="6" t="s">
        <v>1934</v>
      </c>
      <c r="H258" s="6" t="str">
        <f>IF(G258="", "", IF(ISNUMBER(_xlfn.XMATCH(G258, 'Champions Sheet'!H:H)), "Found in Master", "MISSING in Alicia's"))</f>
        <v>MISSING in Alicia's</v>
      </c>
      <c r="I258" s="6" t="str">
        <f>IF(G258="", "", IF(ISNUMBER(_xlfn.XMATCH(G258, 'State Google Tags on Account'!E:E)), "Found in Alicia API Pull", "MISSING in Alicia's API Pull"))</f>
        <v>Found in Alicia API Pull</v>
      </c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idden="1">
      <c r="A259" s="8">
        <v>2.9589621E8</v>
      </c>
      <c r="B259" s="8">
        <v>4.83012671E8</v>
      </c>
      <c r="C259" s="6" t="s">
        <v>462</v>
      </c>
      <c r="D259" s="8">
        <v>4.30184242E8</v>
      </c>
      <c r="E259" s="6" t="s">
        <v>213</v>
      </c>
      <c r="F259" s="11" t="s">
        <v>211</v>
      </c>
      <c r="G259" s="6" t="s">
        <v>212</v>
      </c>
      <c r="H259" s="6" t="str">
        <f>IF(G259="", "", IF(ISNUMBER(_xlfn.XMATCH(G259, 'Champions Sheet'!H:H)), "Found in Master", "MISSING in Alicia's"))</f>
        <v>MISSING in Alicia's</v>
      </c>
      <c r="I259" s="6" t="str">
        <f>IF(G259="", "", IF(ISNUMBER(_xlfn.XMATCH(G259, 'State Google Tags on Account'!E:E)), "Found in Alicia API Pull", "MISSING in Alicia's API Pull"))</f>
        <v>Found in Alicia API Pull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idden="1">
      <c r="A260" s="8">
        <v>2.9589621E8</v>
      </c>
      <c r="B260" s="8">
        <v>4.88601532E8</v>
      </c>
      <c r="C260" s="6" t="s">
        <v>25</v>
      </c>
      <c r="D260" s="8">
        <v>4.30184242E8</v>
      </c>
      <c r="E260" s="6" t="s">
        <v>213</v>
      </c>
      <c r="F260" s="11" t="s">
        <v>211</v>
      </c>
      <c r="G260" s="6" t="s">
        <v>212</v>
      </c>
      <c r="H260" s="6" t="str">
        <f>IF(G260="", "", IF(ISNUMBER(_xlfn.XMATCH(G260, 'Champions Sheet'!H:H)), "Found in Master", "MISSING in Alicia's"))</f>
        <v>MISSING in Alicia's</v>
      </c>
      <c r="I260" s="6" t="str">
        <f>IF(G260="", "", IF(ISNUMBER(_xlfn.XMATCH(G260, 'State Google Tags on Account'!E:E)), "Found in Alicia API Pull", "MISSING in Alicia's API Pull"))</f>
        <v>Found in Alicia API Pull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idden="1">
      <c r="A261" s="8">
        <v>2.9589621E8</v>
      </c>
      <c r="B261" s="8">
        <v>4.88601532E8</v>
      </c>
      <c r="C261" s="6" t="s">
        <v>25</v>
      </c>
      <c r="D261" s="8">
        <v>4.33902377E8</v>
      </c>
      <c r="E261" s="6" t="s">
        <v>1939</v>
      </c>
      <c r="F261" s="11" t="s">
        <v>1937</v>
      </c>
      <c r="G261" s="6" t="s">
        <v>1938</v>
      </c>
      <c r="H261" s="6" t="str">
        <f>IF(G261="", "", IF(ISNUMBER(_xlfn.XMATCH(G261, 'Champions Sheet'!H:H)), "Found in Master", "MISSING in Alicia's"))</f>
        <v>MISSING in Alicia's</v>
      </c>
      <c r="I261" s="6" t="str">
        <f>IF(G261="", "", IF(ISNUMBER(_xlfn.XMATCH(G261, 'State Google Tags on Account'!E:E)), "Found in Alicia API Pull", "MISSING in Alicia's API Pull"))</f>
        <v>Found in Alicia API Pull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idden="1">
      <c r="A262" s="8">
        <v>2.9589621E8</v>
      </c>
      <c r="B262" s="8">
        <v>4.82352716E8</v>
      </c>
      <c r="C262" s="6" t="s">
        <v>179</v>
      </c>
      <c r="D262" s="8">
        <v>5.12124674E8</v>
      </c>
      <c r="E262" s="6" t="s">
        <v>1119</v>
      </c>
      <c r="F262" s="11" t="s">
        <v>1116</v>
      </c>
      <c r="G262" s="6" t="s">
        <v>1117</v>
      </c>
      <c r="H262" s="6" t="str">
        <f>IF(G262="", "", IF(ISNUMBER(_xlfn.XMATCH(G262, 'Champions Sheet'!H:H)), "Found in Master", "MISSING in Alicia's"))</f>
        <v>MISSING in Alicia's</v>
      </c>
      <c r="I262" s="6" t="str">
        <f>IF(G262="", "", IF(ISNUMBER(_xlfn.XMATCH(G262, 'State Google Tags on Account'!E:E)), "Found in Alicia API Pull", "MISSING in Alicia's API Pull"))</f>
        <v>Found in Alicia API Pull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idden="1">
      <c r="A263" s="8">
        <v>2.9589621E8</v>
      </c>
      <c r="B263" s="8">
        <v>4.50964503E8</v>
      </c>
      <c r="C263" s="6" t="s">
        <v>43</v>
      </c>
      <c r="D263" s="8">
        <v>5.12124674E8</v>
      </c>
      <c r="E263" s="6" t="s">
        <v>1119</v>
      </c>
      <c r="F263" s="11" t="s">
        <v>1116</v>
      </c>
      <c r="G263" s="6" t="s">
        <v>1117</v>
      </c>
      <c r="H263" s="6" t="str">
        <f>IF(G263="", "", IF(ISNUMBER(_xlfn.XMATCH(G263, 'Champions Sheet'!H:H)), "Found in Master", "MISSING in Alicia's"))</f>
        <v>MISSING in Alicia's</v>
      </c>
      <c r="I263" s="6" t="str">
        <f>IF(G263="", "", IF(ISNUMBER(_xlfn.XMATCH(G263, 'State Google Tags on Account'!E:E)), "Found in Alicia API Pull", "MISSING in Alicia's API Pull"))</f>
        <v>Found in Alicia API Pull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idden="1">
      <c r="A264" s="8">
        <v>2.9589621E8</v>
      </c>
      <c r="B264" s="8">
        <v>4.50964503E8</v>
      </c>
      <c r="C264" s="6" t="s">
        <v>43</v>
      </c>
      <c r="D264" s="8">
        <v>4.6824426E8</v>
      </c>
      <c r="E264" s="6" t="s">
        <v>1951</v>
      </c>
      <c r="F264" s="11" t="s">
        <v>1949</v>
      </c>
      <c r="G264" s="6" t="s">
        <v>1950</v>
      </c>
      <c r="H264" s="6" t="str">
        <f>IF(G264="", "", IF(ISNUMBER(_xlfn.XMATCH(G264, 'Champions Sheet'!H:H)), "Found in Master", "MISSING in Alicia's"))</f>
        <v>MISSING in Alicia's</v>
      </c>
      <c r="I264" s="6" t="str">
        <f>IF(G264="", "", IF(ISNUMBER(_xlfn.XMATCH(G264, 'State Google Tags on Account'!E:E)), "Found in Alicia API Pull", "MISSING in Alicia's API Pull"))</f>
        <v>Found in Alicia API Pull</v>
      </c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idden="1">
      <c r="A265" s="8">
        <v>2.9589621E8</v>
      </c>
      <c r="B265" s="8">
        <v>4.87084052E8</v>
      </c>
      <c r="C265" s="6" t="s">
        <v>61</v>
      </c>
      <c r="D265" s="8">
        <v>4.67464198E8</v>
      </c>
      <c r="E265" s="6" t="s">
        <v>1486</v>
      </c>
      <c r="F265" s="11" t="s">
        <v>1483</v>
      </c>
      <c r="G265" s="6" t="s">
        <v>1485</v>
      </c>
      <c r="H265" s="6" t="str">
        <f>IF(G265="", "", IF(ISNUMBER(_xlfn.XMATCH(G265, 'Champions Sheet'!H:H)), "Found in Master", "MISSING in Alicia's"))</f>
        <v>MISSING in Alicia's</v>
      </c>
      <c r="I265" s="6" t="str">
        <f>IF(G265="", "", IF(ISNUMBER(_xlfn.XMATCH(G265, 'State Google Tags on Account'!E:E)), "Found in Alicia API Pull", "MISSING in Alicia's API Pull"))</f>
        <v>Found in Alicia API Pull</v>
      </c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idden="1">
      <c r="A266" s="8">
        <v>2.9589621E8</v>
      </c>
      <c r="B266" s="8">
        <v>4.88601532E8</v>
      </c>
      <c r="C266" s="6" t="s">
        <v>25</v>
      </c>
      <c r="D266" s="8">
        <v>4.67464198E8</v>
      </c>
      <c r="E266" s="6" t="s">
        <v>1486</v>
      </c>
      <c r="F266" s="11" t="s">
        <v>1483</v>
      </c>
      <c r="G266" s="6" t="s">
        <v>1485</v>
      </c>
      <c r="H266" s="6" t="str">
        <f>IF(G266="", "", IF(ISNUMBER(_xlfn.XMATCH(G266, 'Champions Sheet'!H:H)), "Found in Master", "MISSING in Alicia's"))</f>
        <v>MISSING in Alicia's</v>
      </c>
      <c r="I266" s="6" t="str">
        <f>IF(G266="", "", IF(ISNUMBER(_xlfn.XMATCH(G266, 'State Google Tags on Account'!E:E)), "Found in Alicia API Pull", "MISSING in Alicia's API Pull"))</f>
        <v>Found in Alicia API Pull</v>
      </c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idden="1">
      <c r="A267" s="8">
        <v>2.9589621E8</v>
      </c>
      <c r="B267" s="8">
        <v>4.82352716E8</v>
      </c>
      <c r="C267" s="6" t="s">
        <v>179</v>
      </c>
      <c r="D267" s="8">
        <v>3.6492306E8</v>
      </c>
      <c r="E267" s="6" t="s">
        <v>905</v>
      </c>
      <c r="F267" s="11" t="s">
        <v>902</v>
      </c>
      <c r="G267" s="6" t="s">
        <v>903</v>
      </c>
      <c r="H267" s="6" t="str">
        <f>IF(G267="", "", IF(ISNUMBER(_xlfn.XMATCH(G267, 'Champions Sheet'!H:H)), "Found in Master", "MISSING in Alicia's"))</f>
        <v>MISSING in Alicia's</v>
      </c>
      <c r="I267" s="6" t="str">
        <f>IF(G267="", "", IF(ISNUMBER(_xlfn.XMATCH(G267, 'State Google Tags on Account'!E:E)), "Found in Alicia API Pull", "MISSING in Alicia's API Pull"))</f>
        <v>Found in Alicia API Pull</v>
      </c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idden="1">
      <c r="A268" s="8">
        <v>2.9589621E8</v>
      </c>
      <c r="B268" s="8">
        <v>4.88601532E8</v>
      </c>
      <c r="C268" s="6" t="s">
        <v>25</v>
      </c>
      <c r="D268" s="8">
        <v>3.6492306E8</v>
      </c>
      <c r="E268" s="6" t="s">
        <v>905</v>
      </c>
      <c r="F268" s="11" t="s">
        <v>902</v>
      </c>
      <c r="G268" s="6" t="s">
        <v>903</v>
      </c>
      <c r="H268" s="6" t="str">
        <f>IF(G268="", "", IF(ISNUMBER(_xlfn.XMATCH(G268, 'Champions Sheet'!H:H)), "Found in Master", "MISSING in Alicia's"))</f>
        <v>MISSING in Alicia's</v>
      </c>
      <c r="I268" s="6" t="str">
        <f>IF(G268="", "", IF(ISNUMBER(_xlfn.XMATCH(G268, 'State Google Tags on Account'!E:E)), "Found in Alicia API Pull", "MISSING in Alicia's API Pull"))</f>
        <v>Found in Alicia API Pull</v>
      </c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idden="1">
      <c r="A269" s="8">
        <v>2.9589621E8</v>
      </c>
      <c r="B269" s="8">
        <v>4.82352716E8</v>
      </c>
      <c r="C269" s="6" t="s">
        <v>179</v>
      </c>
      <c r="D269" s="8">
        <v>5.15279611E8</v>
      </c>
      <c r="E269" s="6" t="s">
        <v>1079</v>
      </c>
      <c r="F269" s="11" t="s">
        <v>1077</v>
      </c>
      <c r="G269" s="6" t="s">
        <v>1078</v>
      </c>
      <c r="H269" s="6" t="str">
        <f>IF(G269="", "", IF(ISNUMBER(_xlfn.XMATCH(G269, 'Champions Sheet'!H:H)), "Found in Master", "MISSING in Alicia's"))</f>
        <v>MISSING in Alicia's</v>
      </c>
      <c r="I269" s="6" t="str">
        <f>IF(G269="", "", IF(ISNUMBER(_xlfn.XMATCH(G269, 'State Google Tags on Account'!E:E)), "Found in Alicia API Pull", "MISSING in Alicia's API Pull"))</f>
        <v>Found in Alicia API Pull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idden="1">
      <c r="A270" s="8">
        <v>2.9589621E8</v>
      </c>
      <c r="B270" s="8">
        <v>4.82352716E8</v>
      </c>
      <c r="C270" s="6" t="s">
        <v>179</v>
      </c>
      <c r="D270" s="8">
        <v>4.75720574E8</v>
      </c>
      <c r="E270" s="6" t="s">
        <v>971</v>
      </c>
      <c r="F270" s="11" t="s">
        <v>2139</v>
      </c>
      <c r="G270" s="6" t="s">
        <v>969</v>
      </c>
      <c r="H270" s="6" t="str">
        <f>IF(G270="", "", IF(ISNUMBER(_xlfn.XMATCH(G270, 'Champions Sheet'!H:H)), "Found in Master", "MISSING in Alicia's"))</f>
        <v>Found in Master</v>
      </c>
      <c r="I270" s="6" t="str">
        <f>IF(G270="", "", IF(ISNUMBER(_xlfn.XMATCH(G270, 'State Google Tags on Account'!E:E)), "Found in Alicia API Pull", "MISSING in Alicia's API Pull"))</f>
        <v>Found in Alicia API Pull</v>
      </c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idden="1">
      <c r="A271" s="8">
        <v>2.9589621E8</v>
      </c>
      <c r="B271" s="8">
        <v>4.50964503E8</v>
      </c>
      <c r="C271" s="6" t="s">
        <v>43</v>
      </c>
      <c r="D271" s="8">
        <v>4.75720574E8</v>
      </c>
      <c r="E271" s="6" t="s">
        <v>971</v>
      </c>
      <c r="F271" s="11" t="s">
        <v>2139</v>
      </c>
      <c r="G271" s="6" t="s">
        <v>969</v>
      </c>
      <c r="H271" s="6" t="str">
        <f>IF(G271="", "", IF(ISNUMBER(_xlfn.XMATCH(G271, 'Champions Sheet'!H:H)), "Found in Master", "MISSING in Alicia's"))</f>
        <v>Found in Master</v>
      </c>
      <c r="I271" s="6" t="str">
        <f>IF(G271="", "", IF(ISNUMBER(_xlfn.XMATCH(G271, 'State Google Tags on Account'!E:E)), "Found in Alicia API Pull", "MISSING in Alicia's API Pull"))</f>
        <v>Found in Alicia API Pull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idden="1">
      <c r="A272" s="8">
        <v>2.9589621E8</v>
      </c>
      <c r="B272" s="8">
        <v>4.82352716E8</v>
      </c>
      <c r="C272" s="6" t="s">
        <v>179</v>
      </c>
      <c r="D272" s="8">
        <v>3.46808253E8</v>
      </c>
      <c r="E272" s="6" t="s">
        <v>1217</v>
      </c>
      <c r="F272" s="11" t="s">
        <v>1214</v>
      </c>
      <c r="G272" s="6" t="s">
        <v>1216</v>
      </c>
      <c r="H272" s="6" t="str">
        <f>IF(G272="", "", IF(ISNUMBER(_xlfn.XMATCH(G272, 'Champions Sheet'!H:H)), "Found in Master", "MISSING in Alicia's"))</f>
        <v>Found in Master</v>
      </c>
      <c r="I272" s="6" t="str">
        <f>IF(G272="", "", IF(ISNUMBER(_xlfn.XMATCH(G272, 'State Google Tags on Account'!E:E)), "Found in Alicia API Pull", "MISSING in Alicia's API Pull"))</f>
        <v>Found in Alicia API Pull</v>
      </c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idden="1">
      <c r="A273" s="8">
        <v>2.9589621E8</v>
      </c>
      <c r="B273" s="8">
        <v>4.50964503E8</v>
      </c>
      <c r="C273" s="6" t="s">
        <v>43</v>
      </c>
      <c r="D273" s="8">
        <v>3.46808253E8</v>
      </c>
      <c r="E273" s="6" t="s">
        <v>1217</v>
      </c>
      <c r="F273" s="11" t="s">
        <v>1214</v>
      </c>
      <c r="G273" s="6" t="s">
        <v>1216</v>
      </c>
      <c r="H273" s="6" t="str">
        <f>IF(G273="", "", IF(ISNUMBER(_xlfn.XMATCH(G273, 'Champions Sheet'!H:H)), "Found in Master", "MISSING in Alicia's"))</f>
        <v>Found in Master</v>
      </c>
      <c r="I273" s="6" t="str">
        <f>IF(G273="", "", IF(ISNUMBER(_xlfn.XMATCH(G273, 'State Google Tags on Account'!E:E)), "Found in Alicia API Pull", "MISSING in Alicia's API Pull"))</f>
        <v>Found in Alicia API Pull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idden="1">
      <c r="A274" s="8">
        <v>2.9589621E8</v>
      </c>
      <c r="B274" s="8">
        <v>4.82352716E8</v>
      </c>
      <c r="C274" s="6" t="s">
        <v>179</v>
      </c>
      <c r="D274" s="8">
        <v>3.46826326E8</v>
      </c>
      <c r="E274" s="6" t="s">
        <v>738</v>
      </c>
      <c r="F274" s="11" t="s">
        <v>735</v>
      </c>
      <c r="G274" s="6" t="s">
        <v>737</v>
      </c>
      <c r="H274" s="6" t="str">
        <f>IF(G274="", "", IF(ISNUMBER(_xlfn.XMATCH(G274, 'Champions Sheet'!H:H)), "Found in Master", "MISSING in Alicia's"))</f>
        <v>Found in Master</v>
      </c>
      <c r="I274" s="6" t="str">
        <f>IF(G274="", "", IF(ISNUMBER(_xlfn.XMATCH(G274, 'State Google Tags on Account'!E:E)), "Found in Alicia API Pull", "MISSING in Alicia's API Pull"))</f>
        <v>Found in Alicia API Pull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idden="1">
      <c r="A275" s="8">
        <v>2.9589621E8</v>
      </c>
      <c r="B275" s="8">
        <v>4.50964503E8</v>
      </c>
      <c r="C275" s="6" t="s">
        <v>43</v>
      </c>
      <c r="D275" s="8">
        <v>3.46826326E8</v>
      </c>
      <c r="E275" s="6" t="s">
        <v>738</v>
      </c>
      <c r="F275" s="11" t="s">
        <v>735</v>
      </c>
      <c r="G275" s="6" t="s">
        <v>737</v>
      </c>
      <c r="H275" s="6" t="str">
        <f>IF(G275="", "", IF(ISNUMBER(_xlfn.XMATCH(G275, 'Champions Sheet'!H:H)), "Found in Master", "MISSING in Alicia's"))</f>
        <v>Found in Master</v>
      </c>
      <c r="I275" s="6" t="str">
        <f>IF(G275="", "", IF(ISNUMBER(_xlfn.XMATCH(G275, 'State Google Tags on Account'!E:E)), "Found in Alicia API Pull", "MISSING in Alicia's API Pull"))</f>
        <v>Found in Alicia API Pull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idden="1">
      <c r="A276" s="8">
        <v>2.9589621E8</v>
      </c>
      <c r="B276" s="8">
        <v>4.82352716E8</v>
      </c>
      <c r="C276" s="6" t="s">
        <v>179</v>
      </c>
      <c r="D276" s="8">
        <v>4.14170202E8</v>
      </c>
      <c r="E276" s="6" t="s">
        <v>1920</v>
      </c>
      <c r="F276" s="11" t="s">
        <v>1809</v>
      </c>
      <c r="G276" s="6" t="s">
        <v>1919</v>
      </c>
      <c r="H276" s="6" t="str">
        <f>IF(G276="", "", IF(ISNUMBER(_xlfn.XMATCH(G276, 'Champions Sheet'!H:H)), "Found in Master", "MISSING in Alicia's"))</f>
        <v>MISSING in Alicia's</v>
      </c>
      <c r="I276" s="6" t="str">
        <f>IF(G276="", "", IF(ISNUMBER(_xlfn.XMATCH(G276, 'State Google Tags on Account'!E:E)), "Found in Alicia API Pull", "MISSING in Alicia's API Pull"))</f>
        <v>Found in Alicia API Pull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idden="1">
      <c r="A277" s="8">
        <v>2.9589621E8</v>
      </c>
      <c r="B277" s="8">
        <v>4.88601532E8</v>
      </c>
      <c r="C277" s="6" t="s">
        <v>25</v>
      </c>
      <c r="D277" s="8">
        <v>4.14170202E8</v>
      </c>
      <c r="E277" s="6" t="s">
        <v>1920</v>
      </c>
      <c r="F277" s="11" t="s">
        <v>1809</v>
      </c>
      <c r="G277" s="6" t="s">
        <v>1919</v>
      </c>
      <c r="H277" s="6" t="str">
        <f>IF(G277="", "", IF(ISNUMBER(_xlfn.XMATCH(G277, 'Champions Sheet'!H:H)), "Found in Master", "MISSING in Alicia's"))</f>
        <v>MISSING in Alicia's</v>
      </c>
      <c r="I277" s="6" t="str">
        <f>IF(G277="", "", IF(ISNUMBER(_xlfn.XMATCH(G277, 'State Google Tags on Account'!E:E)), "Found in Alicia API Pull", "MISSING in Alicia's API Pull"))</f>
        <v>Found in Alicia API Pull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idden="1">
      <c r="A278" s="8">
        <v>2.9589621E8</v>
      </c>
      <c r="B278" s="8">
        <v>4.83012671E8</v>
      </c>
      <c r="C278" s="6" t="s">
        <v>462</v>
      </c>
      <c r="D278" s="8">
        <v>3.46566719E8</v>
      </c>
      <c r="E278" s="6" t="s">
        <v>67</v>
      </c>
      <c r="F278" s="11" t="s">
        <v>1592</v>
      </c>
      <c r="G278" s="6" t="s">
        <v>66</v>
      </c>
      <c r="H278" s="6" t="str">
        <f>IF(G278="", "", IF(ISNUMBER(_xlfn.XMATCH(G278, 'Champions Sheet'!H:H)), "Found in Master", "MISSING in Alicia's"))</f>
        <v>Found in Master</v>
      </c>
      <c r="I278" s="6" t="str">
        <f>IF(G278="", "", IF(ISNUMBER(_xlfn.XMATCH(G278, 'State Google Tags on Account'!E:E)), "Found in Alicia API Pull", "MISSING in Alicia's API Pull"))</f>
        <v>Found in Alicia API Pull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idden="1">
      <c r="A279" s="8">
        <v>2.9589621E8</v>
      </c>
      <c r="B279" s="8">
        <v>4.50964503E8</v>
      </c>
      <c r="C279" s="6" t="s">
        <v>43</v>
      </c>
      <c r="D279" s="8">
        <v>3.46566719E8</v>
      </c>
      <c r="E279" s="6" t="s">
        <v>67</v>
      </c>
      <c r="F279" s="11" t="s">
        <v>1592</v>
      </c>
      <c r="G279" s="6" t="s">
        <v>66</v>
      </c>
      <c r="H279" s="6" t="str">
        <f>IF(G279="", "", IF(ISNUMBER(_xlfn.XMATCH(G279, 'Champions Sheet'!H:H)), "Found in Master", "MISSING in Alicia's"))</f>
        <v>Found in Master</v>
      </c>
      <c r="I279" s="6" t="str">
        <f>IF(G279="", "", IF(ISNUMBER(_xlfn.XMATCH(G279, 'State Google Tags on Account'!E:E)), "Found in Alicia API Pull", "MISSING in Alicia's API Pull"))</f>
        <v>Found in Alicia API Pull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idden="1">
      <c r="A280" s="8">
        <v>2.9589621E8</v>
      </c>
      <c r="B280" s="8">
        <v>4.83012671E8</v>
      </c>
      <c r="C280" s="6" t="s">
        <v>462</v>
      </c>
      <c r="D280" s="8">
        <v>2.58064736E8</v>
      </c>
      <c r="E280" s="6" t="s">
        <v>69</v>
      </c>
      <c r="F280" s="11" t="s">
        <v>71</v>
      </c>
      <c r="G280" s="6" t="s">
        <v>78</v>
      </c>
      <c r="H280" s="6" t="str">
        <f>IF(G280="", "", IF(ISNUMBER(_xlfn.XMATCH(G280, 'Champions Sheet'!H:H)), "Found in Master", "MISSING in Alicia's"))</f>
        <v>MISSING in Alicia's</v>
      </c>
      <c r="I280" s="6" t="str">
        <f>IF(G280="", "", IF(ISNUMBER(_xlfn.XMATCH(G280, 'State Google Tags on Account'!E:E)), "Found in Alicia API Pull", "MISSING in Alicia's API Pull"))</f>
        <v>Found in Alicia API Pull</v>
      </c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idden="1">
      <c r="A281" s="8">
        <v>2.9589621E8</v>
      </c>
      <c r="B281" s="8">
        <v>4.88601532E8</v>
      </c>
      <c r="C281" s="6" t="s">
        <v>25</v>
      </c>
      <c r="D281" s="8">
        <v>2.58064736E8</v>
      </c>
      <c r="E281" s="6" t="s">
        <v>69</v>
      </c>
      <c r="F281" s="11" t="s">
        <v>71</v>
      </c>
      <c r="G281" s="6" t="s">
        <v>78</v>
      </c>
      <c r="H281" s="6" t="str">
        <f>IF(G281="", "", IF(ISNUMBER(_xlfn.XMATCH(G281, 'Champions Sheet'!H:H)), "Found in Master", "MISSING in Alicia's"))</f>
        <v>MISSING in Alicia's</v>
      </c>
      <c r="I281" s="6" t="str">
        <f>IF(G281="", "", IF(ISNUMBER(_xlfn.XMATCH(G281, 'State Google Tags on Account'!E:E)), "Found in Alicia API Pull", "MISSING in Alicia's API Pull"))</f>
        <v>Found in Alicia API Pull</v>
      </c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idden="1">
      <c r="A282" s="8">
        <v>2.9589621E8</v>
      </c>
      <c r="B282" s="8">
        <v>4.50964503E8</v>
      </c>
      <c r="C282" s="6" t="s">
        <v>43</v>
      </c>
      <c r="D282" s="8">
        <v>2.92123413E8</v>
      </c>
      <c r="E282" s="6" t="s">
        <v>415</v>
      </c>
      <c r="F282" s="11" t="s">
        <v>419</v>
      </c>
      <c r="G282" s="6" t="s">
        <v>420</v>
      </c>
      <c r="H282" s="6" t="str">
        <f>IF(G282="", "", IF(ISNUMBER(_xlfn.XMATCH(G282, 'Champions Sheet'!H:H)), "Found in Master", "MISSING in Alicia's"))</f>
        <v>MISSING in Alicia's</v>
      </c>
      <c r="I282" s="6" t="str">
        <f>IF(G282="", "", IF(ISNUMBER(_xlfn.XMATCH(G282, 'State Google Tags on Account'!E:E)), "Found in Alicia API Pull", "MISSING in Alicia's API Pull"))</f>
        <v>Found in Alicia API Pull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idden="1">
      <c r="A283" s="8">
        <v>2.9589621E8</v>
      </c>
      <c r="B283" s="8">
        <v>4.57748145E8</v>
      </c>
      <c r="C283" s="6" t="s">
        <v>2048</v>
      </c>
      <c r="D283" s="8">
        <v>2.92123413E8</v>
      </c>
      <c r="E283" s="6" t="s">
        <v>415</v>
      </c>
      <c r="F283" s="11" t="s">
        <v>419</v>
      </c>
      <c r="G283" s="6" t="s">
        <v>420</v>
      </c>
      <c r="H283" s="6" t="str">
        <f>IF(G283="", "", IF(ISNUMBER(_xlfn.XMATCH(G283, 'Champions Sheet'!H:H)), "Found in Master", "MISSING in Alicia's"))</f>
        <v>MISSING in Alicia's</v>
      </c>
      <c r="I283" s="6" t="str">
        <f>IF(G283="", "", IF(ISNUMBER(_xlfn.XMATCH(G283, 'State Google Tags on Account'!E:E)), "Found in Alicia API Pull", "MISSING in Alicia's API Pull"))</f>
        <v>Found in Alicia API Pull</v>
      </c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idden="1">
      <c r="A284" s="8">
        <v>2.9589621E8</v>
      </c>
      <c r="B284" s="8">
        <v>4.50964503E8</v>
      </c>
      <c r="C284" s="6" t="s">
        <v>43</v>
      </c>
      <c r="D284" s="8">
        <v>4.95354057E8</v>
      </c>
      <c r="E284" s="6" t="s">
        <v>1971</v>
      </c>
      <c r="F284" s="11" t="s">
        <v>1969</v>
      </c>
      <c r="G284" s="6" t="s">
        <v>1970</v>
      </c>
      <c r="H284" s="6" t="str">
        <f>IF(G284="", "", IF(ISNUMBER(_xlfn.XMATCH(G284, 'Champions Sheet'!H:H)), "Found in Master", "MISSING in Alicia's"))</f>
        <v>MISSING in Alicia's</v>
      </c>
      <c r="I284" s="6" t="str">
        <f>IF(G284="", "", IF(ISNUMBER(_xlfn.XMATCH(G284, 'State Google Tags on Account'!E:E)), "Found in Alicia API Pull", "MISSING in Alicia's API Pull"))</f>
        <v>Found in Alicia API Pull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idden="1">
      <c r="A285" s="8">
        <v>2.9589621E8</v>
      </c>
      <c r="B285" s="8">
        <v>4.83039742E8</v>
      </c>
      <c r="C285" s="6" t="s">
        <v>408</v>
      </c>
      <c r="D285" s="8">
        <v>3.98210303E8</v>
      </c>
      <c r="E285" s="6" t="s">
        <v>1967</v>
      </c>
      <c r="F285" s="11" t="s">
        <v>1965</v>
      </c>
      <c r="G285" s="6" t="s">
        <v>1966</v>
      </c>
      <c r="H285" s="6" t="str">
        <f>IF(G285="", "", IF(ISNUMBER(_xlfn.XMATCH(G285, 'Champions Sheet'!H:H)), "Found in Master", "MISSING in Alicia's"))</f>
        <v>MISSING in Alicia's</v>
      </c>
      <c r="I285" s="6" t="str">
        <f>IF(G285="", "", IF(ISNUMBER(_xlfn.XMATCH(G285, 'State Google Tags on Account'!E:E)), "Found in Alicia API Pull", "MISSING in Alicia's API Pull"))</f>
        <v>Found in Alicia API Pull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idden="1">
      <c r="A286" s="8">
        <v>2.9589621E8</v>
      </c>
      <c r="B286" s="8">
        <v>4.88601532E8</v>
      </c>
      <c r="C286" s="6" t="s">
        <v>25</v>
      </c>
      <c r="D286" s="8">
        <v>3.98210303E8</v>
      </c>
      <c r="E286" s="6" t="s">
        <v>1967</v>
      </c>
      <c r="F286" s="11" t="s">
        <v>1965</v>
      </c>
      <c r="G286" s="6" t="s">
        <v>1966</v>
      </c>
      <c r="H286" s="6" t="str">
        <f>IF(G286="", "", IF(ISNUMBER(_xlfn.XMATCH(G286, 'Champions Sheet'!H:H)), "Found in Master", "MISSING in Alicia's"))</f>
        <v>MISSING in Alicia's</v>
      </c>
      <c r="I286" s="6" t="str">
        <f>IF(G286="", "", IF(ISNUMBER(_xlfn.XMATCH(G286, 'State Google Tags on Account'!E:E)), "Found in Alicia API Pull", "MISSING in Alicia's API Pull"))</f>
        <v>Found in Alicia API Pull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idden="1">
      <c r="A287" s="8">
        <v>2.9589621E8</v>
      </c>
      <c r="B287" s="8">
        <v>4.87657823E8</v>
      </c>
      <c r="C287" s="6" t="s">
        <v>333</v>
      </c>
      <c r="D287" s="8">
        <v>2.96958406E8</v>
      </c>
      <c r="E287" s="6" t="s">
        <v>468</v>
      </c>
      <c r="F287" s="11" t="s">
        <v>470</v>
      </c>
      <c r="G287" s="6" t="s">
        <v>474</v>
      </c>
      <c r="H287" s="6" t="str">
        <f>IF(G287="", "", IF(ISNUMBER(_xlfn.XMATCH(G287, 'Champions Sheet'!H:H)), "Found in Master", "MISSING in Alicia's"))</f>
        <v>MISSING in Alicia's</v>
      </c>
      <c r="I287" s="6" t="str">
        <f>IF(G287="", "", IF(ISNUMBER(_xlfn.XMATCH(G287, 'State Google Tags on Account'!E:E)), "Found in Alicia API Pull", "MISSING in Alicia's API Pull"))</f>
        <v>Found in Alicia API Pull</v>
      </c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idden="1">
      <c r="A288" s="8">
        <v>2.9589621E8</v>
      </c>
      <c r="B288" s="8">
        <v>4.50964503E8</v>
      </c>
      <c r="C288" s="6" t="s">
        <v>43</v>
      </c>
      <c r="D288" s="8">
        <v>2.96958406E8</v>
      </c>
      <c r="E288" s="6" t="s">
        <v>468</v>
      </c>
      <c r="F288" s="11" t="s">
        <v>470</v>
      </c>
      <c r="G288" s="6" t="s">
        <v>474</v>
      </c>
      <c r="H288" s="6" t="str">
        <f>IF(G288="", "", IF(ISNUMBER(_xlfn.XMATCH(G288, 'Champions Sheet'!H:H)), "Found in Master", "MISSING in Alicia's"))</f>
        <v>MISSING in Alicia's</v>
      </c>
      <c r="I288" s="6" t="str">
        <f>IF(G288="", "", IF(ISNUMBER(_xlfn.XMATCH(G288, 'State Google Tags on Account'!E:E)), "Found in Alicia API Pull", "MISSING in Alicia's API Pull"))</f>
        <v>Found in Alicia API Pull</v>
      </c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idden="1">
      <c r="A289" s="8">
        <v>2.9589621E8</v>
      </c>
      <c r="B289" s="8">
        <v>4.82151148E8</v>
      </c>
      <c r="C289" s="6" t="s">
        <v>282</v>
      </c>
      <c r="D289" s="8">
        <v>2.92783372E8</v>
      </c>
      <c r="E289" s="6" t="s">
        <v>445</v>
      </c>
      <c r="F289" s="11" t="s">
        <v>447</v>
      </c>
      <c r="G289" s="6" t="s">
        <v>454</v>
      </c>
      <c r="H289" s="6" t="str">
        <f>IF(G289="", "", IF(ISNUMBER(_xlfn.XMATCH(G289, 'Champions Sheet'!H:H)), "Found in Master", "MISSING in Alicia's"))</f>
        <v>MISSING in Alicia's</v>
      </c>
      <c r="I289" s="6" t="str">
        <f>IF(G289="", "", IF(ISNUMBER(_xlfn.XMATCH(G289, 'State Google Tags on Account'!E:E)), "Found in Alicia API Pull", "MISSING in Alicia's API Pull"))</f>
        <v>Found in Alicia API Pull</v>
      </c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idden="1">
      <c r="A290" s="8">
        <v>2.9589621E8</v>
      </c>
      <c r="B290" s="8">
        <v>4.50964503E8</v>
      </c>
      <c r="C290" s="6" t="s">
        <v>43</v>
      </c>
      <c r="D290" s="8">
        <v>2.92783372E8</v>
      </c>
      <c r="E290" s="6" t="s">
        <v>445</v>
      </c>
      <c r="F290" s="11" t="s">
        <v>447</v>
      </c>
      <c r="G290" s="6" t="s">
        <v>454</v>
      </c>
      <c r="H290" s="6" t="str">
        <f>IF(G290="", "", IF(ISNUMBER(_xlfn.XMATCH(G290, 'Champions Sheet'!H:H)), "Found in Master", "MISSING in Alicia's"))</f>
        <v>MISSING in Alicia's</v>
      </c>
      <c r="I290" s="6" t="str">
        <f>IF(G290="", "", IF(ISNUMBER(_xlfn.XMATCH(G290, 'State Google Tags on Account'!E:E)), "Found in Alicia API Pull", "MISSING in Alicia's API Pull"))</f>
        <v>Found in Alicia API Pull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idden="1">
      <c r="A291" s="8">
        <v>2.9589621E8</v>
      </c>
      <c r="B291" s="8">
        <v>4.82352716E8</v>
      </c>
      <c r="C291" s="6" t="s">
        <v>179</v>
      </c>
      <c r="D291" s="8">
        <v>4.29234401E8</v>
      </c>
      <c r="E291" s="6" t="s">
        <v>1045</v>
      </c>
      <c r="F291" s="11" t="s">
        <v>1040</v>
      </c>
      <c r="G291" s="6" t="s">
        <v>1043</v>
      </c>
      <c r="H291" s="6" t="str">
        <f>IF(G291="", "", IF(ISNUMBER(_xlfn.XMATCH(G291, 'Champions Sheet'!H:H)), "Found in Master", "MISSING in Alicia's"))</f>
        <v>Found in Master</v>
      </c>
      <c r="I291" s="6" t="str">
        <f>IF(G291="", "", IF(ISNUMBER(_xlfn.XMATCH(G291, 'State Google Tags on Account'!E:E)), "Found in Alicia API Pull", "MISSING in Alicia's API Pull"))</f>
        <v>Found in Alicia API Pull</v>
      </c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idden="1">
      <c r="A292" s="8">
        <v>2.9589621E8</v>
      </c>
      <c r="B292" s="8">
        <v>4.50964503E8</v>
      </c>
      <c r="C292" s="6" t="s">
        <v>43</v>
      </c>
      <c r="D292" s="8">
        <v>4.29234401E8</v>
      </c>
      <c r="E292" s="6" t="s">
        <v>1045</v>
      </c>
      <c r="F292" s="11" t="s">
        <v>1040</v>
      </c>
      <c r="G292" s="6" t="s">
        <v>1043</v>
      </c>
      <c r="H292" s="6" t="str">
        <f>IF(G292="", "", IF(ISNUMBER(_xlfn.XMATCH(G292, 'Champions Sheet'!H:H)), "Found in Master", "MISSING in Alicia's"))</f>
        <v>Found in Master</v>
      </c>
      <c r="I292" s="6" t="str">
        <f>IF(G292="", "", IF(ISNUMBER(_xlfn.XMATCH(G292, 'State Google Tags on Account'!E:E)), "Found in Alicia API Pull", "MISSING in Alicia's API Pull"))</f>
        <v>Found in Alicia API Pull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idden="1">
      <c r="A293" s="8">
        <v>2.9589621E8</v>
      </c>
      <c r="B293" s="8">
        <v>4.83039742E8</v>
      </c>
      <c r="C293" s="6" t="s">
        <v>408</v>
      </c>
      <c r="D293" s="8">
        <v>2.54102168E8</v>
      </c>
      <c r="E293" s="6" t="s">
        <v>29</v>
      </c>
      <c r="F293" s="11" t="s">
        <v>31</v>
      </c>
      <c r="G293" s="6" t="s">
        <v>37</v>
      </c>
      <c r="H293" s="6" t="str">
        <f>IF(G293="", "", IF(ISNUMBER(_xlfn.XMATCH(G293, 'Champions Sheet'!H:H)), "Found in Master", "MISSING in Alicia's"))</f>
        <v>MISSING in Alicia's</v>
      </c>
      <c r="I293" s="6" t="str">
        <f>IF(G293="", "", IF(ISNUMBER(_xlfn.XMATCH(G293, 'State Google Tags on Account'!E:E)), "Found in Alicia API Pull", "MISSING in Alicia's API Pull"))</f>
        <v>Found in Alicia API Pull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idden="1">
      <c r="A294" s="8">
        <v>2.9589621E8</v>
      </c>
      <c r="B294" s="8">
        <v>4.50964503E8</v>
      </c>
      <c r="C294" s="6" t="s">
        <v>43</v>
      </c>
      <c r="D294" s="8">
        <v>2.54102168E8</v>
      </c>
      <c r="E294" s="6" t="s">
        <v>29</v>
      </c>
      <c r="F294" s="11" t="s">
        <v>31</v>
      </c>
      <c r="G294" s="6" t="s">
        <v>37</v>
      </c>
      <c r="H294" s="6" t="str">
        <f>IF(G294="", "", IF(ISNUMBER(_xlfn.XMATCH(G294, 'Champions Sheet'!H:H)), "Found in Master", "MISSING in Alicia's"))</f>
        <v>MISSING in Alicia's</v>
      </c>
      <c r="I294" s="6" t="str">
        <f>IF(G294="", "", IF(ISNUMBER(_xlfn.XMATCH(G294, 'State Google Tags on Account'!E:E)), "Found in Alicia API Pull", "MISSING in Alicia's API Pull"))</f>
        <v>Found in Alicia API Pull</v>
      </c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idden="1">
      <c r="A295" s="8">
        <v>2.9589621E8</v>
      </c>
      <c r="B295" s="8">
        <v>4.82151148E8</v>
      </c>
      <c r="C295" s="6" t="s">
        <v>282</v>
      </c>
      <c r="D295" s="8">
        <v>4.20247077E8</v>
      </c>
      <c r="E295" s="6" t="s">
        <v>1129</v>
      </c>
      <c r="F295" s="11" t="s">
        <v>1126</v>
      </c>
      <c r="G295" s="6" t="s">
        <v>1128</v>
      </c>
      <c r="H295" s="6" t="str">
        <f>IF(G295="", "", IF(ISNUMBER(_xlfn.XMATCH(G295, 'Champions Sheet'!H:H)), "Found in Master", "MISSING in Alicia's"))</f>
        <v>Found in Master</v>
      </c>
      <c r="I295" s="6" t="str">
        <f>IF(G295="", "", IF(ISNUMBER(_xlfn.XMATCH(G295, 'State Google Tags on Account'!E:E)), "Found in Alicia API Pull", "MISSING in Alicia's API Pull"))</f>
        <v>Found in Alicia API Pull</v>
      </c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idden="1">
      <c r="A296" s="8">
        <v>2.9589621E8</v>
      </c>
      <c r="B296" s="8">
        <v>4.50964503E8</v>
      </c>
      <c r="C296" s="6" t="s">
        <v>43</v>
      </c>
      <c r="D296" s="8">
        <v>4.20247077E8</v>
      </c>
      <c r="E296" s="6" t="s">
        <v>1129</v>
      </c>
      <c r="F296" s="11" t="s">
        <v>1126</v>
      </c>
      <c r="G296" s="6" t="s">
        <v>1128</v>
      </c>
      <c r="H296" s="6" t="str">
        <f>IF(G296="", "", IF(ISNUMBER(_xlfn.XMATCH(G296, 'Champions Sheet'!H:H)), "Found in Master", "MISSING in Alicia's"))</f>
        <v>Found in Master</v>
      </c>
      <c r="I296" s="6" t="str">
        <f>IF(G296="", "", IF(ISNUMBER(_xlfn.XMATCH(G296, 'State Google Tags on Account'!E:E)), "Found in Alicia API Pull", "MISSING in Alicia's API Pull"))</f>
        <v>Found in Alicia API Pull</v>
      </c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idden="1">
      <c r="A297" s="8">
        <v>2.9589621E8</v>
      </c>
      <c r="B297" s="8">
        <v>4.88601532E8</v>
      </c>
      <c r="C297" s="6" t="s">
        <v>25</v>
      </c>
      <c r="D297" s="8">
        <v>3.45260875E8</v>
      </c>
      <c r="E297" s="6" t="s">
        <v>1269</v>
      </c>
      <c r="F297" s="11" t="s">
        <v>1271</v>
      </c>
      <c r="G297" s="6" t="s">
        <v>1273</v>
      </c>
      <c r="H297" s="6" t="str">
        <f>IF(G297="", "", IF(ISNUMBER(_xlfn.XMATCH(G297, 'Champions Sheet'!H:H)), "Found in Master", "MISSING in Alicia's"))</f>
        <v>MISSING in Alicia's</v>
      </c>
      <c r="I297" s="6" t="str">
        <f>IF(G297="", "", IF(ISNUMBER(_xlfn.XMATCH(G297, 'State Google Tags on Account'!E:E)), "Found in Alicia API Pull", "MISSING in Alicia's API Pull"))</f>
        <v>Found in Alicia API Pull</v>
      </c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idden="1">
      <c r="A298" s="8">
        <v>2.9589621E8</v>
      </c>
      <c r="B298" s="8">
        <v>4.82352716E8</v>
      </c>
      <c r="C298" s="6" t="s">
        <v>179</v>
      </c>
      <c r="D298" s="8">
        <v>3.46497008E8</v>
      </c>
      <c r="E298" s="6" t="s">
        <v>1017</v>
      </c>
      <c r="F298" s="11" t="s">
        <v>1013</v>
      </c>
      <c r="G298" s="6" t="s">
        <v>1016</v>
      </c>
      <c r="H298" s="6" t="str">
        <f>IF(G298="", "", IF(ISNUMBER(_xlfn.XMATCH(G298, 'Champions Sheet'!H:H)), "Found in Master", "MISSING in Alicia's"))</f>
        <v>Found in Master</v>
      </c>
      <c r="I298" s="6" t="str">
        <f>IF(G298="", "", IF(ISNUMBER(_xlfn.XMATCH(G298, 'State Google Tags on Account'!E:E)), "Found in Alicia API Pull", "MISSING in Alicia's API Pull"))</f>
        <v>Found in Alicia API Pull</v>
      </c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idden="1">
      <c r="A299" s="8">
        <v>2.9589621E8</v>
      </c>
      <c r="B299" s="8">
        <v>4.50964503E8</v>
      </c>
      <c r="C299" s="6" t="s">
        <v>43</v>
      </c>
      <c r="D299" s="8">
        <v>3.46497008E8</v>
      </c>
      <c r="E299" s="6" t="s">
        <v>1017</v>
      </c>
      <c r="F299" s="11" t="s">
        <v>1013</v>
      </c>
      <c r="G299" s="6" t="s">
        <v>1016</v>
      </c>
      <c r="H299" s="6" t="str">
        <f>IF(G299="", "", IF(ISNUMBER(_xlfn.XMATCH(G299, 'Champions Sheet'!H:H)), "Found in Master", "MISSING in Alicia's"))</f>
        <v>Found in Master</v>
      </c>
      <c r="I299" s="6" t="str">
        <f>IF(G299="", "", IF(ISNUMBER(_xlfn.XMATCH(G299, 'State Google Tags on Account'!E:E)), "Found in Alicia API Pull", "MISSING in Alicia's API Pull"))</f>
        <v>Found in Alicia API Pull</v>
      </c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idden="1">
      <c r="A300" s="8">
        <v>2.9589621E8</v>
      </c>
      <c r="B300" s="8">
        <v>4.83012671E8</v>
      </c>
      <c r="C300" s="6" t="s">
        <v>462</v>
      </c>
      <c r="D300" s="8">
        <v>3.46585614E8</v>
      </c>
      <c r="E300" s="6" t="s">
        <v>208</v>
      </c>
      <c r="F300" s="11" t="s">
        <v>206</v>
      </c>
      <c r="G300" s="6" t="s">
        <v>207</v>
      </c>
      <c r="H300" s="6" t="str">
        <f>IF(G300="", "", IF(ISNUMBER(_xlfn.XMATCH(G300, 'Champions Sheet'!H:H)), "Found in Master", "MISSING in Alicia's"))</f>
        <v>MISSING in Alicia's</v>
      </c>
      <c r="I300" s="6" t="str">
        <f>IF(G300="", "", IF(ISNUMBER(_xlfn.XMATCH(G300, 'State Google Tags on Account'!E:E)), "Found in Alicia API Pull", "MISSING in Alicia's API Pull"))</f>
        <v>Found in Alicia API Pull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idden="1">
      <c r="A301" s="8">
        <v>2.9589621E8</v>
      </c>
      <c r="B301" s="8">
        <v>4.50964503E8</v>
      </c>
      <c r="C301" s="6" t="s">
        <v>43</v>
      </c>
      <c r="D301" s="8">
        <v>3.46585614E8</v>
      </c>
      <c r="E301" s="6" t="s">
        <v>208</v>
      </c>
      <c r="F301" s="11" t="s">
        <v>206</v>
      </c>
      <c r="G301" s="6" t="s">
        <v>207</v>
      </c>
      <c r="H301" s="6" t="str">
        <f>IF(G301="", "", IF(ISNUMBER(_xlfn.XMATCH(G301, 'Champions Sheet'!H:H)), "Found in Master", "MISSING in Alicia's"))</f>
        <v>MISSING in Alicia's</v>
      </c>
      <c r="I301" s="6" t="str">
        <f>IF(G301="", "", IF(ISNUMBER(_xlfn.XMATCH(G301, 'State Google Tags on Account'!E:E)), "Found in Alicia API Pull", "MISSING in Alicia's API Pull"))</f>
        <v>Found in Alicia API Pull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idden="1">
      <c r="A302" s="8">
        <v>2.9589621E8</v>
      </c>
      <c r="B302" s="8">
        <v>4.83039742E8</v>
      </c>
      <c r="C302" s="6" t="s">
        <v>408</v>
      </c>
      <c r="D302" s="8">
        <v>4.09066854E8</v>
      </c>
      <c r="E302" s="6" t="s">
        <v>669</v>
      </c>
      <c r="F302" s="11" t="s">
        <v>665</v>
      </c>
      <c r="G302" s="6" t="s">
        <v>667</v>
      </c>
      <c r="H302" s="6" t="str">
        <f>IF(G302="", "", IF(ISNUMBER(_xlfn.XMATCH(G302, 'Champions Sheet'!H:H)), "Found in Master", "MISSING in Alicia's"))</f>
        <v>MISSING in Alicia's</v>
      </c>
      <c r="I302" s="6" t="str">
        <f>IF(G302="", "", IF(ISNUMBER(_xlfn.XMATCH(G302, 'State Google Tags on Account'!E:E)), "Found in Alicia API Pull", "MISSING in Alicia's API Pull"))</f>
        <v>Found in Alicia API Pull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idden="1">
      <c r="A303" s="8">
        <v>2.9589621E8</v>
      </c>
      <c r="B303" s="8">
        <v>4.88601532E8</v>
      </c>
      <c r="C303" s="6" t="s">
        <v>25</v>
      </c>
      <c r="D303" s="8">
        <v>4.09066854E8</v>
      </c>
      <c r="E303" s="6" t="s">
        <v>669</v>
      </c>
      <c r="F303" s="11" t="s">
        <v>665</v>
      </c>
      <c r="G303" s="6" t="s">
        <v>667</v>
      </c>
      <c r="H303" s="6" t="str">
        <f>IF(G303="", "", IF(ISNUMBER(_xlfn.XMATCH(G303, 'Champions Sheet'!H:H)), "Found in Master", "MISSING in Alicia's"))</f>
        <v>MISSING in Alicia's</v>
      </c>
      <c r="I303" s="6" t="str">
        <f>IF(G303="", "", IF(ISNUMBER(_xlfn.XMATCH(G303, 'State Google Tags on Account'!E:E)), "Found in Alicia API Pull", "MISSING in Alicia's API Pull"))</f>
        <v>Found in Alicia API Pull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idden="1">
      <c r="A304" s="8">
        <v>2.9589621E8</v>
      </c>
      <c r="B304" s="8">
        <v>4.82352716E8</v>
      </c>
      <c r="C304" s="6" t="s">
        <v>179</v>
      </c>
      <c r="D304" s="8">
        <v>3.19000672E8</v>
      </c>
      <c r="E304" s="6" t="s">
        <v>803</v>
      </c>
      <c r="F304" s="11" t="s">
        <v>814</v>
      </c>
      <c r="G304" s="6" t="s">
        <v>827</v>
      </c>
      <c r="H304" s="6" t="str">
        <f>IF(G304="", "", IF(ISNUMBER(_xlfn.XMATCH(G304, 'Champions Sheet'!H:H)), "Found in Master", "MISSING in Alicia's"))</f>
        <v>Found in Master</v>
      </c>
      <c r="I304" s="6" t="str">
        <f>IF(G304="", "", IF(ISNUMBER(_xlfn.XMATCH(G304, 'State Google Tags on Account'!E:E)), "Found in Alicia API Pull", "MISSING in Alicia's API Pull"))</f>
        <v>Found in Alicia API Pull</v>
      </c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idden="1">
      <c r="A305" s="8">
        <v>2.9589621E8</v>
      </c>
      <c r="B305" s="8">
        <v>4.50964503E8</v>
      </c>
      <c r="C305" s="6" t="s">
        <v>43</v>
      </c>
      <c r="D305" s="8">
        <v>3.19000672E8</v>
      </c>
      <c r="E305" s="6" t="s">
        <v>803</v>
      </c>
      <c r="F305" s="11" t="s">
        <v>814</v>
      </c>
      <c r="G305" s="6" t="s">
        <v>827</v>
      </c>
      <c r="H305" s="6" t="str">
        <f>IF(G305="", "", IF(ISNUMBER(_xlfn.XMATCH(G305, 'Champions Sheet'!H:H)), "Found in Master", "MISSING in Alicia's"))</f>
        <v>Found in Master</v>
      </c>
      <c r="I305" s="6" t="str">
        <f>IF(G305="", "", IF(ISNUMBER(_xlfn.XMATCH(G305, 'State Google Tags on Account'!E:E)), "Found in Alicia API Pull", "MISSING in Alicia's API Pull"))</f>
        <v>Found in Alicia API Pull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idden="1">
      <c r="A306" s="8">
        <v>2.9589621E8</v>
      </c>
      <c r="B306" s="8">
        <v>4.82352716E8</v>
      </c>
      <c r="C306" s="6" t="s">
        <v>179</v>
      </c>
      <c r="D306" s="8">
        <v>3.07048545E8</v>
      </c>
      <c r="E306" s="6" t="s">
        <v>587</v>
      </c>
      <c r="F306" s="11" t="s">
        <v>595</v>
      </c>
      <c r="G306" s="6" t="s">
        <v>598</v>
      </c>
      <c r="H306" s="6" t="str">
        <f>IF(G306="", "", IF(ISNUMBER(_xlfn.XMATCH(G306, 'Champions Sheet'!H:H)), "Found in Master", "MISSING in Alicia's"))</f>
        <v>Found in Master</v>
      </c>
      <c r="I306" s="6" t="str">
        <f>IF(G306="", "", IF(ISNUMBER(_xlfn.XMATCH(G306, 'State Google Tags on Account'!E:E)), "Found in Alicia API Pull", "MISSING in Alicia's API Pull"))</f>
        <v>Found in Alicia API Pull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idden="1">
      <c r="A307" s="8">
        <v>2.9589621E8</v>
      </c>
      <c r="B307" s="8">
        <v>4.50964503E8</v>
      </c>
      <c r="C307" s="6" t="s">
        <v>43</v>
      </c>
      <c r="D307" s="8">
        <v>3.07048545E8</v>
      </c>
      <c r="E307" s="6" t="s">
        <v>587</v>
      </c>
      <c r="F307" s="11" t="s">
        <v>595</v>
      </c>
      <c r="G307" s="6" t="s">
        <v>598</v>
      </c>
      <c r="H307" s="6" t="str">
        <f>IF(G307="", "", IF(ISNUMBER(_xlfn.XMATCH(G307, 'Champions Sheet'!H:H)), "Found in Master", "MISSING in Alicia's"))</f>
        <v>Found in Master</v>
      </c>
      <c r="I307" s="6" t="str">
        <f>IF(G307="", "", IF(ISNUMBER(_xlfn.XMATCH(G307, 'State Google Tags on Account'!E:E)), "Found in Alicia API Pull", "MISSING in Alicia's API Pull"))</f>
        <v>Found in Alicia API Pull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idden="1">
      <c r="A308" s="8">
        <v>2.9589621E8</v>
      </c>
      <c r="B308" s="8">
        <v>4.82352716E8</v>
      </c>
      <c r="C308" s="6" t="s">
        <v>179</v>
      </c>
      <c r="D308" s="8">
        <v>3.46264511E8</v>
      </c>
      <c r="E308" s="6" t="s">
        <v>920</v>
      </c>
      <c r="F308" s="11" t="s">
        <v>917</v>
      </c>
      <c r="G308" s="6" t="s">
        <v>919</v>
      </c>
      <c r="H308" s="6" t="str">
        <f>IF(G308="", "", IF(ISNUMBER(_xlfn.XMATCH(G308, 'Champions Sheet'!H:H)), "Found in Master", "MISSING in Alicia's"))</f>
        <v>Found in Master</v>
      </c>
      <c r="I308" s="6" t="str">
        <f>IF(G308="", "", IF(ISNUMBER(_xlfn.XMATCH(G308, 'State Google Tags on Account'!E:E)), "Found in Alicia API Pull", "MISSING in Alicia's API Pull"))</f>
        <v>Found in Alicia API Pull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idden="1">
      <c r="A309" s="8">
        <v>2.9589621E8</v>
      </c>
      <c r="B309" s="8">
        <v>4.50964503E8</v>
      </c>
      <c r="C309" s="6" t="s">
        <v>43</v>
      </c>
      <c r="D309" s="8">
        <v>3.46264511E8</v>
      </c>
      <c r="E309" s="6" t="s">
        <v>920</v>
      </c>
      <c r="F309" s="11" t="s">
        <v>917</v>
      </c>
      <c r="G309" s="6" t="s">
        <v>919</v>
      </c>
      <c r="H309" s="6" t="str">
        <f>IF(G309="", "", IF(ISNUMBER(_xlfn.XMATCH(G309, 'Champions Sheet'!H:H)), "Found in Master", "MISSING in Alicia's"))</f>
        <v>Found in Master</v>
      </c>
      <c r="I309" s="6" t="str">
        <f>IF(G309="", "", IF(ISNUMBER(_xlfn.XMATCH(G309, 'State Google Tags on Account'!E:E)), "Found in Alicia API Pull", "MISSING in Alicia's API Pull"))</f>
        <v>Found in Alicia API Pull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idden="1">
      <c r="A310" s="8">
        <v>2.9589621E8</v>
      </c>
      <c r="B310" s="8">
        <v>4.88601532E8</v>
      </c>
      <c r="C310" s="6" t="s">
        <v>25</v>
      </c>
      <c r="D310" s="8">
        <v>3.03246888E8</v>
      </c>
      <c r="E310" s="6" t="s">
        <v>524</v>
      </c>
      <c r="F310" s="11" t="s">
        <v>527</v>
      </c>
      <c r="G310" s="6" t="s">
        <v>530</v>
      </c>
      <c r="H310" s="6" t="str">
        <f>IF(G310="", "", IF(ISNUMBER(_xlfn.XMATCH(G310, 'Champions Sheet'!H:H)), "Found in Master", "MISSING in Alicia's"))</f>
        <v>MISSING in Alicia's</v>
      </c>
      <c r="I310" s="6" t="str">
        <f>IF(G310="", "", IF(ISNUMBER(_xlfn.XMATCH(G310, 'State Google Tags on Account'!E:E)), "Found in Alicia API Pull", "MISSING in Alicia's API Pull"))</f>
        <v>Found in Alicia API Pull</v>
      </c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idden="1">
      <c r="A311" s="8">
        <v>2.9589621E8</v>
      </c>
      <c r="B311" s="8">
        <v>4.83039742E8</v>
      </c>
      <c r="C311" s="6" t="s">
        <v>408</v>
      </c>
      <c r="D311" s="8">
        <v>4.73097624E8</v>
      </c>
      <c r="E311" s="6" t="s">
        <v>725</v>
      </c>
      <c r="F311" s="11" t="s">
        <v>722</v>
      </c>
      <c r="G311" s="6" t="s">
        <v>724</v>
      </c>
      <c r="H311" s="6" t="str">
        <f>IF(G311="", "", IF(ISNUMBER(_xlfn.XMATCH(G311, 'Champions Sheet'!H:H)), "Found in Master", "MISSING in Alicia's"))</f>
        <v>MISSING in Alicia's</v>
      </c>
      <c r="I311" s="6" t="str">
        <f>IF(G311="", "", IF(ISNUMBER(_xlfn.XMATCH(G311, 'State Google Tags on Account'!E:E)), "Found in Alicia API Pull", "MISSING in Alicia's API Pull"))</f>
        <v>Found in Alicia API Pull</v>
      </c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idden="1">
      <c r="A312" s="8">
        <v>2.9589621E8</v>
      </c>
      <c r="B312" s="8">
        <v>4.50964503E8</v>
      </c>
      <c r="C312" s="6" t="s">
        <v>43</v>
      </c>
      <c r="D312" s="8">
        <v>4.73097624E8</v>
      </c>
      <c r="E312" s="6" t="s">
        <v>725</v>
      </c>
      <c r="F312" s="11" t="s">
        <v>722</v>
      </c>
      <c r="G312" s="6" t="s">
        <v>724</v>
      </c>
      <c r="H312" s="6" t="str">
        <f>IF(G312="", "", IF(ISNUMBER(_xlfn.XMATCH(G312, 'Champions Sheet'!H:H)), "Found in Master", "MISSING in Alicia's"))</f>
        <v>MISSING in Alicia's</v>
      </c>
      <c r="I312" s="6" t="str">
        <f>IF(G312="", "", IF(ISNUMBER(_xlfn.XMATCH(G312, 'State Google Tags on Account'!E:E)), "Found in Alicia API Pull", "MISSING in Alicia's API Pull"))</f>
        <v>Found in Alicia API Pull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idden="1">
      <c r="A313" s="8">
        <v>2.9589621E8</v>
      </c>
      <c r="B313" s="8">
        <v>4.50964503E8</v>
      </c>
      <c r="C313" s="6" t="s">
        <v>43</v>
      </c>
      <c r="D313" s="8">
        <v>3.46333715E8</v>
      </c>
      <c r="E313" s="6" t="s">
        <v>398</v>
      </c>
      <c r="F313" s="11" t="s">
        <v>396</v>
      </c>
      <c r="G313" s="6" t="s">
        <v>397</v>
      </c>
      <c r="H313" s="6" t="str">
        <f>IF(G313="", "", IF(ISNUMBER(_xlfn.XMATCH(G313, 'Champions Sheet'!H:H)), "Found in Master", "MISSING in Alicia's"))</f>
        <v>MISSING in Alicia's</v>
      </c>
      <c r="I313" s="6" t="str">
        <f>IF(G313="", "", IF(ISNUMBER(_xlfn.XMATCH(G313, 'State Google Tags on Account'!E:E)), "Found in Alicia API Pull", "MISSING in Alicia's API Pull"))</f>
        <v>Found in Alicia API Pull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idden="1">
      <c r="A314" s="8">
        <v>2.9589621E8</v>
      </c>
      <c r="B314" s="8">
        <v>4.50964503E8</v>
      </c>
      <c r="C314" s="6" t="s">
        <v>43</v>
      </c>
      <c r="D314" s="8">
        <v>2.92096764E8</v>
      </c>
      <c r="E314" s="6" t="s">
        <v>353</v>
      </c>
      <c r="F314" s="11" t="s">
        <v>355</v>
      </c>
      <c r="G314" s="6" t="s">
        <v>369</v>
      </c>
      <c r="H314" s="6" t="str">
        <f>IF(G314="", "", IF(ISNUMBER(_xlfn.XMATCH(G314, 'Champions Sheet'!H:H)), "Found in Master", "MISSING in Alicia's"))</f>
        <v>MISSING in Alicia's</v>
      </c>
      <c r="I314" s="6" t="str">
        <f>IF(G314="", "", IF(ISNUMBER(_xlfn.XMATCH(G314, 'State Google Tags on Account'!E:E)), "Found in Alicia API Pull", "MISSING in Alicia's API Pull"))</f>
        <v>Found in Alicia API Pull</v>
      </c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idden="1">
      <c r="A315" s="8">
        <v>2.9589621E8</v>
      </c>
      <c r="B315" s="8">
        <v>4.57684582E8</v>
      </c>
      <c r="C315" s="6" t="s">
        <v>2118</v>
      </c>
      <c r="D315" s="8">
        <v>2.92096764E8</v>
      </c>
      <c r="E315" s="6" t="s">
        <v>353</v>
      </c>
      <c r="F315" s="11" t="s">
        <v>355</v>
      </c>
      <c r="G315" s="6" t="s">
        <v>369</v>
      </c>
      <c r="H315" s="6" t="str">
        <f>IF(G315="", "", IF(ISNUMBER(_xlfn.XMATCH(G315, 'Champions Sheet'!H:H)), "Found in Master", "MISSING in Alicia's"))</f>
        <v>MISSING in Alicia's</v>
      </c>
      <c r="I315" s="6" t="str">
        <f>IF(G315="", "", IF(ISNUMBER(_xlfn.XMATCH(G315, 'State Google Tags on Account'!E:E)), "Found in Alicia API Pull", "MISSING in Alicia's API Pull"))</f>
        <v>Found in Alicia API Pull</v>
      </c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idden="1">
      <c r="A316" s="8">
        <v>2.9589621E8</v>
      </c>
      <c r="B316" s="8">
        <v>4.82151148E8</v>
      </c>
      <c r="C316" s="6" t="s">
        <v>282</v>
      </c>
      <c r="D316" s="8">
        <v>3.46486484E8</v>
      </c>
      <c r="E316" s="6" t="s">
        <v>1294</v>
      </c>
      <c r="F316" s="11" t="s">
        <v>1290</v>
      </c>
      <c r="G316" s="6" t="s">
        <v>1292</v>
      </c>
      <c r="H316" s="6" t="str">
        <f>IF(G316="", "", IF(ISNUMBER(_xlfn.XMATCH(G316, 'Champions Sheet'!H:H)), "Found in Master", "MISSING in Alicia's"))</f>
        <v>MISSING in Alicia's</v>
      </c>
      <c r="I316" s="6" t="str">
        <f>IF(G316="", "", IF(ISNUMBER(_xlfn.XMATCH(G316, 'State Google Tags on Account'!E:E)), "Found in Alicia API Pull", "MISSING in Alicia's API Pull"))</f>
        <v>Found in Alicia API Pull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idden="1">
      <c r="A317" s="8">
        <v>2.9589621E8</v>
      </c>
      <c r="B317" s="8">
        <v>4.50964503E8</v>
      </c>
      <c r="C317" s="6" t="s">
        <v>43</v>
      </c>
      <c r="D317" s="8">
        <v>3.46486484E8</v>
      </c>
      <c r="E317" s="6" t="s">
        <v>1294</v>
      </c>
      <c r="F317" s="11" t="s">
        <v>1290</v>
      </c>
      <c r="G317" s="6" t="s">
        <v>1292</v>
      </c>
      <c r="H317" s="6" t="str">
        <f>IF(G317="", "", IF(ISNUMBER(_xlfn.XMATCH(G317, 'Champions Sheet'!H:H)), "Found in Master", "MISSING in Alicia's"))</f>
        <v>MISSING in Alicia's</v>
      </c>
      <c r="I317" s="6" t="str">
        <f>IF(G317="", "", IF(ISNUMBER(_xlfn.XMATCH(G317, 'State Google Tags on Account'!E:E)), "Found in Alicia API Pull", "MISSING in Alicia's API Pull"))</f>
        <v>Found in Alicia API Pull</v>
      </c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idden="1">
      <c r="A318" s="8">
        <v>2.9589621E8</v>
      </c>
      <c r="B318" s="8">
        <v>4.83039742E8</v>
      </c>
      <c r="C318" s="6" t="s">
        <v>408</v>
      </c>
      <c r="D318" s="8">
        <v>4.33418921E8</v>
      </c>
      <c r="E318" s="6" t="s">
        <v>626</v>
      </c>
      <c r="F318" s="11" t="s">
        <v>623</v>
      </c>
      <c r="G318" s="6" t="s">
        <v>628</v>
      </c>
      <c r="H318" s="6" t="str">
        <f>IF(G318="", "", IF(ISNUMBER(_xlfn.XMATCH(G318, 'Champions Sheet'!H:H)), "Found in Master", "MISSING in Alicia's"))</f>
        <v>MISSING in Alicia's</v>
      </c>
      <c r="I318" s="6" t="str">
        <f>IF(G318="", "", IF(ISNUMBER(_xlfn.XMATCH(G318, 'State Google Tags on Account'!E:E)), "Found in Alicia API Pull", "MISSING in Alicia's API Pull"))</f>
        <v>Found in Alicia API Pull</v>
      </c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idden="1">
      <c r="A319" s="8">
        <v>2.9589621E8</v>
      </c>
      <c r="B319" s="8">
        <v>4.50964503E8</v>
      </c>
      <c r="C319" s="6" t="s">
        <v>43</v>
      </c>
      <c r="D319" s="8">
        <v>4.33418921E8</v>
      </c>
      <c r="E319" s="6" t="s">
        <v>626</v>
      </c>
      <c r="F319" s="11" t="s">
        <v>623</v>
      </c>
      <c r="G319" s="6" t="s">
        <v>628</v>
      </c>
      <c r="H319" s="6" t="str">
        <f>IF(G319="", "", IF(ISNUMBER(_xlfn.XMATCH(G319, 'Champions Sheet'!H:H)), "Found in Master", "MISSING in Alicia's"))</f>
        <v>MISSING in Alicia's</v>
      </c>
      <c r="I319" s="6" t="str">
        <f>IF(G319="", "", IF(ISNUMBER(_xlfn.XMATCH(G319, 'State Google Tags on Account'!E:E)), "Found in Alicia API Pull", "MISSING in Alicia's API Pull"))</f>
        <v>Found in Alicia API Pull</v>
      </c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idden="1">
      <c r="A320" s="8">
        <v>2.9589621E8</v>
      </c>
      <c r="B320" s="8">
        <v>4.82151148E8</v>
      </c>
      <c r="C320" s="6" t="s">
        <v>282</v>
      </c>
      <c r="D320" s="8">
        <v>3.48369273E8</v>
      </c>
      <c r="E320" s="6" t="s">
        <v>1222</v>
      </c>
      <c r="F320" s="11" t="s">
        <v>1220</v>
      </c>
      <c r="G320" s="6" t="s">
        <v>1221</v>
      </c>
      <c r="H320" s="6" t="str">
        <f>IF(G320="", "", IF(ISNUMBER(_xlfn.XMATCH(G320, 'Champions Sheet'!H:H)), "Found in Master", "MISSING in Alicia's"))</f>
        <v>MISSING in Alicia's</v>
      </c>
      <c r="I320" s="6" t="str">
        <f>IF(G320="", "", IF(ISNUMBER(_xlfn.XMATCH(G320, 'State Google Tags on Account'!E:E)), "Found in Alicia API Pull", "MISSING in Alicia's API Pull"))</f>
        <v>Found in Alicia API Pull</v>
      </c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idden="1">
      <c r="A321" s="8">
        <v>2.9589621E8</v>
      </c>
      <c r="B321" s="8">
        <v>4.50964503E8</v>
      </c>
      <c r="C321" s="6" t="s">
        <v>43</v>
      </c>
      <c r="D321" s="8">
        <v>3.48369273E8</v>
      </c>
      <c r="E321" s="6" t="s">
        <v>1222</v>
      </c>
      <c r="F321" s="11" t="s">
        <v>1220</v>
      </c>
      <c r="G321" s="6" t="s">
        <v>1221</v>
      </c>
      <c r="H321" s="6" t="str">
        <f>IF(G321="", "", IF(ISNUMBER(_xlfn.XMATCH(G321, 'Champions Sheet'!H:H)), "Found in Master", "MISSING in Alicia's"))</f>
        <v>MISSING in Alicia's</v>
      </c>
      <c r="I321" s="6" t="str">
        <f>IF(G321="", "", IF(ISNUMBER(_xlfn.XMATCH(G321, 'State Google Tags on Account'!E:E)), "Found in Alicia API Pull", "MISSING in Alicia's API Pull"))</f>
        <v>Found in Alicia API Pull</v>
      </c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idden="1">
      <c r="A322" s="8">
        <v>2.9589621E8</v>
      </c>
      <c r="B322" s="8">
        <v>4.88601532E8</v>
      </c>
      <c r="C322" s="6" t="s">
        <v>25</v>
      </c>
      <c r="D322" s="8">
        <v>3.46722898E8</v>
      </c>
      <c r="E322" s="6" t="s">
        <v>1689</v>
      </c>
      <c r="F322" s="11" t="s">
        <v>1691</v>
      </c>
      <c r="G322" s="6" t="s">
        <v>1692</v>
      </c>
      <c r="H322" s="6" t="str">
        <f>IF(G322="", "", IF(ISNUMBER(_xlfn.XMATCH(G322, 'Champions Sheet'!H:H)), "Found in Master", "MISSING in Alicia's"))</f>
        <v>MISSING in Alicia's</v>
      </c>
      <c r="I322" s="6" t="str">
        <f>IF(G322="", "", IF(ISNUMBER(_xlfn.XMATCH(G322, 'State Google Tags on Account'!E:E)), "Found in Alicia API Pull", "MISSING in Alicia's API Pull"))</f>
        <v>Found in Alicia API Pull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idden="1">
      <c r="A323" s="8">
        <v>2.9589621E8</v>
      </c>
      <c r="B323" s="8">
        <v>4.83039742E8</v>
      </c>
      <c r="C323" s="6" t="s">
        <v>408</v>
      </c>
      <c r="D323" s="8">
        <v>4.33433964E8</v>
      </c>
      <c r="E323" s="6" t="s">
        <v>2119</v>
      </c>
      <c r="F323" s="11" t="s">
        <v>632</v>
      </c>
      <c r="G323" s="6" t="s">
        <v>638</v>
      </c>
      <c r="H323" s="6" t="str">
        <f>IF(G323="", "", IF(ISNUMBER(_xlfn.XMATCH(G323, 'Champions Sheet'!H:H)), "Found in Master", "MISSING in Alicia's"))</f>
        <v>MISSING in Alicia's</v>
      </c>
      <c r="I323" s="6" t="str">
        <f>IF(G323="", "", IF(ISNUMBER(_xlfn.XMATCH(G323, 'State Google Tags on Account'!E:E)), "Found in Alicia API Pull", "MISSING in Alicia's API Pull"))</f>
        <v>Found in Alicia API Pull</v>
      </c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idden="1">
      <c r="A324" s="8">
        <v>2.9589621E8</v>
      </c>
      <c r="B324" s="8">
        <v>4.50964503E8</v>
      </c>
      <c r="C324" s="6" t="s">
        <v>43</v>
      </c>
      <c r="D324" s="8">
        <v>4.33433964E8</v>
      </c>
      <c r="E324" s="6" t="s">
        <v>2119</v>
      </c>
      <c r="F324" s="11" t="s">
        <v>632</v>
      </c>
      <c r="G324" s="6" t="s">
        <v>638</v>
      </c>
      <c r="H324" s="6" t="str">
        <f>IF(G324="", "", IF(ISNUMBER(_xlfn.XMATCH(G324, 'Champions Sheet'!H:H)), "Found in Master", "MISSING in Alicia's"))</f>
        <v>MISSING in Alicia's</v>
      </c>
      <c r="I324" s="6" t="str">
        <f>IF(G324="", "", IF(ISNUMBER(_xlfn.XMATCH(G324, 'State Google Tags on Account'!E:E)), "Found in Alicia API Pull", "MISSING in Alicia's API Pull"))</f>
        <v>Found in Alicia API Pull</v>
      </c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idden="1">
      <c r="A325" s="8">
        <v>2.9589621E8</v>
      </c>
      <c r="B325" s="8">
        <v>4.83039742E8</v>
      </c>
      <c r="C325" s="6" t="s">
        <v>408</v>
      </c>
      <c r="D325" s="8">
        <v>4.33415788E8</v>
      </c>
      <c r="E325" s="6" t="s">
        <v>687</v>
      </c>
      <c r="F325" s="11" t="s">
        <v>684</v>
      </c>
      <c r="G325" s="6" t="s">
        <v>715</v>
      </c>
      <c r="H325" s="6" t="str">
        <f>IF(G325="", "", IF(ISNUMBER(_xlfn.XMATCH(G325, 'Champions Sheet'!H:H)), "Found in Master", "MISSING in Alicia's"))</f>
        <v>MISSING in Alicia's</v>
      </c>
      <c r="I325" s="6" t="str">
        <f>IF(G325="", "", IF(ISNUMBER(_xlfn.XMATCH(G325, 'State Google Tags on Account'!E:E)), "Found in Alicia API Pull", "MISSING in Alicia's API Pull"))</f>
        <v>Found in Alicia API Pull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idden="1">
      <c r="A326" s="8">
        <v>2.9589621E8</v>
      </c>
      <c r="B326" s="8">
        <v>4.50964503E8</v>
      </c>
      <c r="C326" s="6" t="s">
        <v>43</v>
      </c>
      <c r="D326" s="8">
        <v>4.33415788E8</v>
      </c>
      <c r="E326" s="6" t="s">
        <v>687</v>
      </c>
      <c r="F326" s="11" t="s">
        <v>684</v>
      </c>
      <c r="G326" s="6" t="s">
        <v>715</v>
      </c>
      <c r="H326" s="6" t="str">
        <f>IF(G326="", "", IF(ISNUMBER(_xlfn.XMATCH(G326, 'Champions Sheet'!H:H)), "Found in Master", "MISSING in Alicia's"))</f>
        <v>MISSING in Alicia's</v>
      </c>
      <c r="I326" s="6" t="str">
        <f>IF(G326="", "", IF(ISNUMBER(_xlfn.XMATCH(G326, 'State Google Tags on Account'!E:E)), "Found in Alicia API Pull", "MISSING in Alicia's API Pull"))</f>
        <v>Found in Alicia API Pull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idden="1">
      <c r="A327" s="8">
        <v>2.9589621E8</v>
      </c>
      <c r="B327" s="8">
        <v>4.82352716E8</v>
      </c>
      <c r="C327" s="6" t="s">
        <v>179</v>
      </c>
      <c r="D327" s="8">
        <v>3.97613711E8</v>
      </c>
      <c r="E327" s="6" t="s">
        <v>845</v>
      </c>
      <c r="F327" s="11" t="s">
        <v>2101</v>
      </c>
      <c r="G327" s="6" t="s">
        <v>842</v>
      </c>
      <c r="H327" s="6" t="str">
        <f>IF(G327="", "", IF(ISNUMBER(_xlfn.XMATCH(G327, 'Champions Sheet'!H:H)), "Found in Master", "MISSING in Alicia's"))</f>
        <v>Found in Master</v>
      </c>
      <c r="I327" s="6" t="str">
        <f>IF(G327="", "", IF(ISNUMBER(_xlfn.XMATCH(G327, 'State Google Tags on Account'!E:E)), "Found in Alicia API Pull", "MISSING in Alicia's API Pull"))</f>
        <v>Found in Alicia API Pull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idden="1">
      <c r="A328" s="8">
        <v>2.9589621E8</v>
      </c>
      <c r="B328" s="8">
        <v>4.50964503E8</v>
      </c>
      <c r="C328" s="6" t="s">
        <v>43</v>
      </c>
      <c r="D328" s="8">
        <v>3.97613711E8</v>
      </c>
      <c r="E328" s="6" t="s">
        <v>845</v>
      </c>
      <c r="F328" s="11" t="s">
        <v>2101</v>
      </c>
      <c r="G328" s="6" t="s">
        <v>842</v>
      </c>
      <c r="H328" s="6" t="str">
        <f>IF(G328="", "", IF(ISNUMBER(_xlfn.XMATCH(G328, 'Champions Sheet'!H:H)), "Found in Master", "MISSING in Alicia's"))</f>
        <v>Found in Master</v>
      </c>
      <c r="I328" s="6" t="str">
        <f>IF(G328="", "", IF(ISNUMBER(_xlfn.XMATCH(G328, 'State Google Tags on Account'!E:E)), "Found in Alicia API Pull", "MISSING in Alicia's API Pull"))</f>
        <v>Found in Alicia API Pull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idden="1">
      <c r="A329" s="8">
        <v>2.9589621E8</v>
      </c>
      <c r="B329" s="8">
        <v>4.88601532E8</v>
      </c>
      <c r="C329" s="6" t="s">
        <v>25</v>
      </c>
      <c r="D329" s="8">
        <v>4.21255282E8</v>
      </c>
      <c r="E329" s="6" t="s">
        <v>249</v>
      </c>
      <c r="F329" s="11" t="s">
        <v>245</v>
      </c>
      <c r="G329" s="6" t="s">
        <v>247</v>
      </c>
      <c r="H329" s="6" t="str">
        <f>IF(G329="", "", IF(ISNUMBER(_xlfn.XMATCH(G329, 'Champions Sheet'!H:H)), "Found in Master", "MISSING in Alicia's"))</f>
        <v>MISSING in Alicia's</v>
      </c>
      <c r="I329" s="6" t="str">
        <f>IF(G329="", "", IF(ISNUMBER(_xlfn.XMATCH(G329, 'State Google Tags on Account'!E:E)), "Found in Alicia API Pull", "MISSING in Alicia's API Pull"))</f>
        <v>Found in Alicia API Pull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idden="1">
      <c r="A330" s="8">
        <v>2.9589621E8</v>
      </c>
      <c r="B330" s="8">
        <v>4.87084052E8</v>
      </c>
      <c r="C330" s="6" t="s">
        <v>61</v>
      </c>
      <c r="D330" s="8">
        <v>3.80514547E8</v>
      </c>
      <c r="E330" s="6" t="s">
        <v>1455</v>
      </c>
      <c r="F330" s="11" t="s">
        <v>825</v>
      </c>
      <c r="G330" s="6" t="s">
        <v>1454</v>
      </c>
      <c r="H330" s="6" t="str">
        <f>IF(G330="", "", IF(ISNUMBER(_xlfn.XMATCH(G330, 'Champions Sheet'!H:H)), "Found in Master", "MISSING in Alicia's"))</f>
        <v>MISSING in Alicia's</v>
      </c>
      <c r="I330" s="6" t="str">
        <f>IF(G330="", "", IF(ISNUMBER(_xlfn.XMATCH(G330, 'State Google Tags on Account'!E:E)), "Found in Alicia API Pull", "MISSING in Alicia's API Pull"))</f>
        <v>Found in Alicia API Pull</v>
      </c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idden="1">
      <c r="A331" s="8">
        <v>2.9589621E8</v>
      </c>
      <c r="B331" s="8">
        <v>4.50964503E8</v>
      </c>
      <c r="C331" s="6" t="s">
        <v>43</v>
      </c>
      <c r="D331" s="8">
        <v>3.80514547E8</v>
      </c>
      <c r="E331" s="6" t="s">
        <v>1455</v>
      </c>
      <c r="F331" s="11" t="s">
        <v>825</v>
      </c>
      <c r="G331" s="6" t="s">
        <v>1454</v>
      </c>
      <c r="H331" s="6" t="str">
        <f>IF(G331="", "", IF(ISNUMBER(_xlfn.XMATCH(G331, 'Champions Sheet'!H:H)), "Found in Master", "MISSING in Alicia's"))</f>
        <v>MISSING in Alicia's</v>
      </c>
      <c r="I331" s="6" t="str">
        <f>IF(G331="", "", IF(ISNUMBER(_xlfn.XMATCH(G331, 'State Google Tags on Account'!E:E)), "Found in Alicia API Pull", "MISSING in Alicia's API Pull"))</f>
        <v>Found in Alicia API Pull</v>
      </c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idden="1">
      <c r="A332" s="8">
        <v>2.9589621E8</v>
      </c>
      <c r="B332" s="8">
        <v>4.87657823E8</v>
      </c>
      <c r="C332" s="6" t="s">
        <v>333</v>
      </c>
      <c r="D332" s="8">
        <v>3.73230768E8</v>
      </c>
      <c r="E332" s="6" t="s">
        <v>1257</v>
      </c>
      <c r="F332" s="11" t="s">
        <v>1253</v>
      </c>
      <c r="G332" s="6" t="s">
        <v>1256</v>
      </c>
      <c r="H332" s="6" t="str">
        <f>IF(G332="", "", IF(ISNUMBER(_xlfn.XMATCH(G332, 'Champions Sheet'!H:H)), "Found in Master", "MISSING in Alicia's"))</f>
        <v>Found in Master</v>
      </c>
      <c r="I332" s="6" t="str">
        <f>IF(G332="", "", IF(ISNUMBER(_xlfn.XMATCH(G332, 'State Google Tags on Account'!E:E)), "Found in Alicia API Pull", "MISSING in Alicia's API Pull"))</f>
        <v>Found in Alicia API Pull</v>
      </c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idden="1">
      <c r="A333" s="8">
        <v>2.9589621E8</v>
      </c>
      <c r="B333" s="8">
        <v>4.50964503E8</v>
      </c>
      <c r="C333" s="6" t="s">
        <v>43</v>
      </c>
      <c r="D333" s="8">
        <v>3.73230768E8</v>
      </c>
      <c r="E333" s="6" t="s">
        <v>1257</v>
      </c>
      <c r="F333" s="11" t="s">
        <v>1253</v>
      </c>
      <c r="G333" s="6" t="s">
        <v>1256</v>
      </c>
      <c r="H333" s="6" t="str">
        <f>IF(G333="", "", IF(ISNUMBER(_xlfn.XMATCH(G333, 'Champions Sheet'!H:H)), "Found in Master", "MISSING in Alicia's"))</f>
        <v>Found in Master</v>
      </c>
      <c r="I333" s="6" t="str">
        <f>IF(G333="", "", IF(ISNUMBER(_xlfn.XMATCH(G333, 'State Google Tags on Account'!E:E)), "Found in Alicia API Pull", "MISSING in Alicia's API Pull"))</f>
        <v>Found in Alicia API Pull</v>
      </c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idden="1">
      <c r="A334" s="8">
        <v>2.9589621E8</v>
      </c>
      <c r="B334" s="8">
        <v>4.87657823E8</v>
      </c>
      <c r="C334" s="6" t="s">
        <v>333</v>
      </c>
      <c r="D334" s="8">
        <v>3.71015E8</v>
      </c>
      <c r="E334" s="6" t="s">
        <v>1589</v>
      </c>
      <c r="F334" s="11" t="s">
        <v>1587</v>
      </c>
      <c r="G334" s="6" t="s">
        <v>1588</v>
      </c>
      <c r="H334" s="6" t="str">
        <f>IF(G334="", "", IF(ISNUMBER(_xlfn.XMATCH(G334, 'Champions Sheet'!H:H)), "Found in Master", "MISSING in Alicia's"))</f>
        <v>MISSING in Alicia's</v>
      </c>
      <c r="I334" s="6" t="str">
        <f>IF(G334="", "", IF(ISNUMBER(_xlfn.XMATCH(G334, 'State Google Tags on Account'!E:E)), "Found in Alicia API Pull", "MISSING in Alicia's API Pull"))</f>
        <v>Found in Alicia API Pull</v>
      </c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idden="1">
      <c r="A335" s="8">
        <v>2.9589621E8</v>
      </c>
      <c r="B335" s="8">
        <v>4.88601532E8</v>
      </c>
      <c r="C335" s="6" t="s">
        <v>25</v>
      </c>
      <c r="D335" s="8">
        <v>3.71015E8</v>
      </c>
      <c r="E335" s="6" t="s">
        <v>1589</v>
      </c>
      <c r="F335" s="11" t="s">
        <v>1587</v>
      </c>
      <c r="G335" s="6" t="s">
        <v>1588</v>
      </c>
      <c r="H335" s="6" t="str">
        <f>IF(G335="", "", IF(ISNUMBER(_xlfn.XMATCH(G335, 'Champions Sheet'!H:H)), "Found in Master", "MISSING in Alicia's"))</f>
        <v>MISSING in Alicia's</v>
      </c>
      <c r="I335" s="6" t="str">
        <f>IF(G335="", "", IF(ISNUMBER(_xlfn.XMATCH(G335, 'State Google Tags on Account'!E:E)), "Found in Alicia API Pull", "MISSING in Alicia's API Pull"))</f>
        <v>Found in Alicia API Pull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idden="1">
      <c r="A336" s="8">
        <v>2.9589621E8</v>
      </c>
      <c r="B336" s="8">
        <v>4.87657823E8</v>
      </c>
      <c r="C336" s="6" t="s">
        <v>333</v>
      </c>
      <c r="D336" s="8">
        <v>3.66088702E8</v>
      </c>
      <c r="E336" s="6" t="s">
        <v>1578</v>
      </c>
      <c r="F336" s="11" t="s">
        <v>1576</v>
      </c>
      <c r="G336" s="6" t="s">
        <v>1577</v>
      </c>
      <c r="H336" s="6" t="str">
        <f>IF(G336="", "", IF(ISNUMBER(_xlfn.XMATCH(G336, 'Champions Sheet'!H:H)), "Found in Master", "MISSING in Alicia's"))</f>
        <v>MISSING in Alicia's</v>
      </c>
      <c r="I336" s="6" t="str">
        <f>IF(G336="", "", IF(ISNUMBER(_xlfn.XMATCH(G336, 'State Google Tags on Account'!E:E)), "Found in Alicia API Pull", "MISSING in Alicia's API Pull"))</f>
        <v>Found in Alicia API Pull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idden="1">
      <c r="A337" s="8">
        <v>2.9589621E8</v>
      </c>
      <c r="B337" s="8">
        <v>4.50964503E8</v>
      </c>
      <c r="C337" s="6" t="s">
        <v>43</v>
      </c>
      <c r="D337" s="8">
        <v>3.66088702E8</v>
      </c>
      <c r="E337" s="6" t="s">
        <v>1578</v>
      </c>
      <c r="F337" s="11" t="s">
        <v>1576</v>
      </c>
      <c r="G337" s="6" t="s">
        <v>1577</v>
      </c>
      <c r="H337" s="6" t="str">
        <f>IF(G337="", "", IF(ISNUMBER(_xlfn.XMATCH(G337, 'Champions Sheet'!H:H)), "Found in Master", "MISSING in Alicia's"))</f>
        <v>MISSING in Alicia's</v>
      </c>
      <c r="I337" s="6" t="str">
        <f>IF(G337="", "", IF(ISNUMBER(_xlfn.XMATCH(G337, 'State Google Tags on Account'!E:E)), "Found in Alicia API Pull", "MISSING in Alicia's API Pull"))</f>
        <v>Found in Alicia API Pull</v>
      </c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idden="1">
      <c r="A338" s="8">
        <v>2.9589621E8</v>
      </c>
      <c r="B338" s="8">
        <v>4.87657823E8</v>
      </c>
      <c r="C338" s="6" t="s">
        <v>333</v>
      </c>
      <c r="D338" s="8">
        <v>3.81512247E8</v>
      </c>
      <c r="E338" s="6" t="s">
        <v>1580</v>
      </c>
      <c r="F338" s="11" t="s">
        <v>497</v>
      </c>
      <c r="G338" s="6" t="s">
        <v>1579</v>
      </c>
      <c r="H338" s="6" t="str">
        <f>IF(G338="", "", IF(ISNUMBER(_xlfn.XMATCH(G338, 'Champions Sheet'!H:H)), "Found in Master", "MISSING in Alicia's"))</f>
        <v>MISSING in Alicia's</v>
      </c>
      <c r="I338" s="6" t="str">
        <f>IF(G338="", "", IF(ISNUMBER(_xlfn.XMATCH(G338, 'State Google Tags on Account'!E:E)), "Found in Alicia API Pull", "MISSING in Alicia's API Pull"))</f>
        <v>Found in Alicia API Pull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idden="1">
      <c r="A339" s="8">
        <v>2.9589621E8</v>
      </c>
      <c r="B339" s="8">
        <v>4.50964503E8</v>
      </c>
      <c r="C339" s="6" t="s">
        <v>43</v>
      </c>
      <c r="D339" s="8">
        <v>3.81512247E8</v>
      </c>
      <c r="E339" s="6" t="s">
        <v>1580</v>
      </c>
      <c r="F339" s="11" t="s">
        <v>497</v>
      </c>
      <c r="G339" s="6" t="s">
        <v>1579</v>
      </c>
      <c r="H339" s="6" t="str">
        <f>IF(G339="", "", IF(ISNUMBER(_xlfn.XMATCH(G339, 'Champions Sheet'!H:H)), "Found in Master", "MISSING in Alicia's"))</f>
        <v>MISSING in Alicia's</v>
      </c>
      <c r="I339" s="6" t="str">
        <f>IF(G339="", "", IF(ISNUMBER(_xlfn.XMATCH(G339, 'State Google Tags on Account'!E:E)), "Found in Alicia API Pull", "MISSING in Alicia's API Pull"))</f>
        <v>Found in Alicia API Pull</v>
      </c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idden="1">
      <c r="A340" s="8">
        <v>2.9589621E8</v>
      </c>
      <c r="B340" s="8">
        <v>4.87657823E8</v>
      </c>
      <c r="C340" s="6" t="s">
        <v>333</v>
      </c>
      <c r="D340" s="8">
        <v>3.61505697E8</v>
      </c>
      <c r="E340" s="6" t="s">
        <v>1583</v>
      </c>
      <c r="F340" s="11" t="s">
        <v>1581</v>
      </c>
      <c r="G340" s="6" t="s">
        <v>1582</v>
      </c>
      <c r="H340" s="6" t="str">
        <f>IF(G340="", "", IF(ISNUMBER(_xlfn.XMATCH(G340, 'Champions Sheet'!H:H)), "Found in Master", "MISSING in Alicia's"))</f>
        <v>MISSING in Alicia's</v>
      </c>
      <c r="I340" s="6" t="str">
        <f>IF(G340="", "", IF(ISNUMBER(_xlfn.XMATCH(G340, 'State Google Tags on Account'!E:E)), "Found in Alicia API Pull", "MISSING in Alicia's API Pull"))</f>
        <v>Found in Alicia API Pull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idden="1">
      <c r="A341" s="8">
        <v>2.9589621E8</v>
      </c>
      <c r="B341" s="8">
        <v>4.50964503E8</v>
      </c>
      <c r="C341" s="6" t="s">
        <v>43</v>
      </c>
      <c r="D341" s="8">
        <v>3.61505697E8</v>
      </c>
      <c r="E341" s="6" t="s">
        <v>1583</v>
      </c>
      <c r="F341" s="11" t="s">
        <v>1581</v>
      </c>
      <c r="G341" s="6" t="s">
        <v>1582</v>
      </c>
      <c r="H341" s="6" t="str">
        <f>IF(G341="", "", IF(ISNUMBER(_xlfn.XMATCH(G341, 'Champions Sheet'!H:H)), "Found in Master", "MISSING in Alicia's"))</f>
        <v>MISSING in Alicia's</v>
      </c>
      <c r="I341" s="6" t="str">
        <f>IF(G341="", "", IF(ISNUMBER(_xlfn.XMATCH(G341, 'State Google Tags on Account'!E:E)), "Found in Alicia API Pull", "MISSING in Alicia's API Pull"))</f>
        <v>Found in Alicia API Pull</v>
      </c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idden="1">
      <c r="A342" s="8">
        <v>2.9589621E8</v>
      </c>
      <c r="B342" s="8">
        <v>4.87657823E8</v>
      </c>
      <c r="C342" s="6" t="s">
        <v>333</v>
      </c>
      <c r="D342" s="8">
        <v>3.62794541E8</v>
      </c>
      <c r="E342" s="6" t="s">
        <v>1595</v>
      </c>
      <c r="F342" s="11" t="s">
        <v>1593</v>
      </c>
      <c r="G342" s="6" t="s">
        <v>1594</v>
      </c>
      <c r="H342" s="6" t="str">
        <f>IF(G342="", "", IF(ISNUMBER(_xlfn.XMATCH(G342, 'Champions Sheet'!H:H)), "Found in Master", "MISSING in Alicia's"))</f>
        <v>MISSING in Alicia's</v>
      </c>
      <c r="I342" s="6" t="str">
        <f>IF(G342="", "", IF(ISNUMBER(_xlfn.XMATCH(G342, 'State Google Tags on Account'!E:E)), "Found in Alicia API Pull", "MISSING in Alicia's API Pull"))</f>
        <v>Found in Alicia API Pull</v>
      </c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idden="1">
      <c r="A343" s="8">
        <v>2.9589621E8</v>
      </c>
      <c r="B343" s="8">
        <v>4.88601532E8</v>
      </c>
      <c r="C343" s="6" t="s">
        <v>25</v>
      </c>
      <c r="D343" s="8">
        <v>3.62794541E8</v>
      </c>
      <c r="E343" s="6" t="s">
        <v>1595</v>
      </c>
      <c r="F343" s="11" t="s">
        <v>1593</v>
      </c>
      <c r="G343" s="6" t="s">
        <v>1594</v>
      </c>
      <c r="H343" s="6" t="str">
        <f>IF(G343="", "", IF(ISNUMBER(_xlfn.XMATCH(G343, 'Champions Sheet'!H:H)), "Found in Master", "MISSING in Alicia's"))</f>
        <v>MISSING in Alicia's</v>
      </c>
      <c r="I343" s="6" t="str">
        <f>IF(G343="", "", IF(ISNUMBER(_xlfn.XMATCH(G343, 'State Google Tags on Account'!E:E)), "Found in Alicia API Pull", "MISSING in Alicia's API Pull"))</f>
        <v>Found in Alicia API Pull</v>
      </c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idden="1">
      <c r="A344" s="8">
        <v>2.9589621E8</v>
      </c>
      <c r="B344" s="8">
        <v>4.82151148E8</v>
      </c>
      <c r="C344" s="6" t="s">
        <v>282</v>
      </c>
      <c r="D344" s="8">
        <v>3.62788891E8</v>
      </c>
      <c r="E344" s="6" t="s">
        <v>2043</v>
      </c>
      <c r="F344" s="11" t="s">
        <v>1239</v>
      </c>
      <c r="G344" s="6" t="s">
        <v>1240</v>
      </c>
      <c r="H344" s="6" t="str">
        <f>IF(G344="", "", IF(ISNUMBER(_xlfn.XMATCH(G344, 'Champions Sheet'!H:H)), "Found in Master", "MISSING in Alicia's"))</f>
        <v>MISSING in Alicia's</v>
      </c>
      <c r="I344" s="6" t="str">
        <f>IF(G344="", "", IF(ISNUMBER(_xlfn.XMATCH(G344, 'State Google Tags on Account'!E:E)), "Found in Alicia API Pull", "MISSING in Alicia's API Pull"))</f>
        <v>Found in Alicia API Pull</v>
      </c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idden="1">
      <c r="A345" s="8">
        <v>2.9589621E8</v>
      </c>
      <c r="B345" s="8">
        <v>4.50964503E8</v>
      </c>
      <c r="C345" s="6" t="s">
        <v>43</v>
      </c>
      <c r="D345" s="8">
        <v>3.62788891E8</v>
      </c>
      <c r="E345" s="6" t="s">
        <v>2043</v>
      </c>
      <c r="F345" s="11" t="s">
        <v>1239</v>
      </c>
      <c r="G345" s="6" t="s">
        <v>1240</v>
      </c>
      <c r="H345" s="6" t="str">
        <f>IF(G345="", "", IF(ISNUMBER(_xlfn.XMATCH(G345, 'Champions Sheet'!H:H)), "Found in Master", "MISSING in Alicia's"))</f>
        <v>MISSING in Alicia's</v>
      </c>
      <c r="I345" s="6" t="str">
        <f>IF(G345="", "", IF(ISNUMBER(_xlfn.XMATCH(G345, 'State Google Tags on Account'!E:E)), "Found in Alicia API Pull", "MISSING in Alicia's API Pull"))</f>
        <v>Found in Alicia API Pull</v>
      </c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idden="1">
      <c r="A346" s="8">
        <v>2.9589621E8</v>
      </c>
      <c r="B346" s="8">
        <v>4.50964503E8</v>
      </c>
      <c r="C346" s="6" t="s">
        <v>43</v>
      </c>
      <c r="D346" s="8">
        <v>3.81648802E8</v>
      </c>
      <c r="E346" s="6" t="s">
        <v>2004</v>
      </c>
      <c r="F346" s="11" t="s">
        <v>2002</v>
      </c>
      <c r="G346" s="6" t="s">
        <v>2003</v>
      </c>
      <c r="H346" s="6" t="str">
        <f>IF(G346="", "", IF(ISNUMBER(_xlfn.XMATCH(G346, 'Champions Sheet'!H:H)), "Found in Master", "MISSING in Alicia's"))</f>
        <v>MISSING in Alicia's</v>
      </c>
      <c r="I346" s="6" t="str">
        <f>IF(G346="", "", IF(ISNUMBER(_xlfn.XMATCH(G346, 'State Google Tags on Account'!E:E)), "Found in Alicia API Pull", "MISSING in Alicia's API Pull"))</f>
        <v>Found in Alicia API Pull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idden="1">
      <c r="A347" s="8">
        <v>2.9589621E8</v>
      </c>
      <c r="B347" s="8">
        <v>4.87657823E8</v>
      </c>
      <c r="C347" s="6" t="s">
        <v>333</v>
      </c>
      <c r="D347" s="8">
        <v>3.68479467E8</v>
      </c>
      <c r="E347" s="6" t="s">
        <v>1314</v>
      </c>
      <c r="F347" s="11" t="s">
        <v>1585</v>
      </c>
      <c r="G347" s="6" t="s">
        <v>1586</v>
      </c>
      <c r="H347" s="6" t="str">
        <f>IF(G347="", "", IF(ISNUMBER(_xlfn.XMATCH(G347, 'Champions Sheet'!H:H)), "Found in Master", "MISSING in Alicia's"))</f>
        <v>MISSING in Alicia's</v>
      </c>
      <c r="I347" s="6" t="str">
        <f>IF(G347="", "", IF(ISNUMBER(_xlfn.XMATCH(G347, 'State Google Tags on Account'!E:E)), "Found in Alicia API Pull", "MISSING in Alicia's API Pull"))</f>
        <v>Found in Alicia API Pull</v>
      </c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idden="1">
      <c r="A348" s="8">
        <v>2.9589621E8</v>
      </c>
      <c r="B348" s="8">
        <v>4.50964503E8</v>
      </c>
      <c r="C348" s="6" t="s">
        <v>43</v>
      </c>
      <c r="D348" s="8">
        <v>3.68479467E8</v>
      </c>
      <c r="E348" s="6" t="s">
        <v>1314</v>
      </c>
      <c r="F348" s="11" t="s">
        <v>1585</v>
      </c>
      <c r="G348" s="6" t="s">
        <v>1586</v>
      </c>
      <c r="H348" s="6" t="str">
        <f>IF(G348="", "", IF(ISNUMBER(_xlfn.XMATCH(G348, 'Champions Sheet'!H:H)), "Found in Master", "MISSING in Alicia's"))</f>
        <v>MISSING in Alicia's</v>
      </c>
      <c r="I348" s="6" t="str">
        <f>IF(G348="", "", IF(ISNUMBER(_xlfn.XMATCH(G348, 'State Google Tags on Account'!E:E)), "Found in Alicia API Pull", "MISSING in Alicia's API Pull"))</f>
        <v>Found in Alicia API Pull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idden="1">
      <c r="A349" s="8">
        <v>2.9589621E8</v>
      </c>
      <c r="B349" s="8">
        <v>4.50964503E8</v>
      </c>
      <c r="C349" s="6" t="s">
        <v>43</v>
      </c>
      <c r="D349" s="8">
        <v>3.72069199E8</v>
      </c>
      <c r="E349" s="6" t="s">
        <v>1954</v>
      </c>
      <c r="F349" s="11" t="s">
        <v>1952</v>
      </c>
      <c r="G349" s="6" t="s">
        <v>1953</v>
      </c>
      <c r="H349" s="6" t="str">
        <f>IF(G349="", "", IF(ISNUMBER(_xlfn.XMATCH(G349, 'Champions Sheet'!H:H)), "Found in Master", "MISSING in Alicia's"))</f>
        <v>MISSING in Alicia's</v>
      </c>
      <c r="I349" s="6" t="str">
        <f>IF(G349="", "", IF(ISNUMBER(_xlfn.XMATCH(G349, 'State Google Tags on Account'!E:E)), "Found in Alicia API Pull", "MISSING in Alicia's API Pull"))</f>
        <v>Found in Alicia API Pull</v>
      </c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idden="1">
      <c r="A350" s="8">
        <v>2.9589621E8</v>
      </c>
      <c r="B350" s="8">
        <v>4.82352716E8</v>
      </c>
      <c r="C350" s="6" t="s">
        <v>179</v>
      </c>
      <c r="D350" s="8">
        <v>3.67393892E8</v>
      </c>
      <c r="E350" s="6" t="s">
        <v>1923</v>
      </c>
      <c r="F350" s="11" t="s">
        <v>1921</v>
      </c>
      <c r="G350" s="6" t="s">
        <v>1922</v>
      </c>
      <c r="H350" s="6" t="str">
        <f>IF(G350="", "", IF(ISNUMBER(_xlfn.XMATCH(G350, 'Champions Sheet'!H:H)), "Found in Master", "MISSING in Alicia's"))</f>
        <v>MISSING in Alicia's</v>
      </c>
      <c r="I350" s="6" t="str">
        <f>IF(G350="", "", IF(ISNUMBER(_xlfn.XMATCH(G350, 'State Google Tags on Account'!E:E)), "Found in Alicia API Pull", "MISSING in Alicia's API Pull"))</f>
        <v>Found in Alicia API Pull</v>
      </c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idden="1">
      <c r="A351" s="8">
        <v>2.9589621E8</v>
      </c>
      <c r="B351" s="8">
        <v>4.88601532E8</v>
      </c>
      <c r="C351" s="6" t="s">
        <v>25</v>
      </c>
      <c r="D351" s="8">
        <v>3.67393892E8</v>
      </c>
      <c r="E351" s="6" t="s">
        <v>1923</v>
      </c>
      <c r="F351" s="11" t="s">
        <v>1921</v>
      </c>
      <c r="G351" s="6" t="s">
        <v>1922</v>
      </c>
      <c r="H351" s="6" t="str">
        <f>IF(G351="", "", IF(ISNUMBER(_xlfn.XMATCH(G351, 'Champions Sheet'!H:H)), "Found in Master", "MISSING in Alicia's"))</f>
        <v>MISSING in Alicia's</v>
      </c>
      <c r="I351" s="6" t="str">
        <f>IF(G351="", "", IF(ISNUMBER(_xlfn.XMATCH(G351, 'State Google Tags on Account'!E:E)), "Found in Alicia API Pull", "MISSING in Alicia's API Pull"))</f>
        <v>Found in Alicia API Pull</v>
      </c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idden="1">
      <c r="A352" s="8">
        <v>2.9589621E8</v>
      </c>
      <c r="B352" s="8">
        <v>4.87657823E8</v>
      </c>
      <c r="C352" s="6" t="s">
        <v>333</v>
      </c>
      <c r="D352" s="8">
        <v>3.6295701E8</v>
      </c>
      <c r="E352" s="6" t="s">
        <v>1601</v>
      </c>
      <c r="F352" s="11" t="s">
        <v>1599</v>
      </c>
      <c r="G352" s="6" t="s">
        <v>1600</v>
      </c>
      <c r="H352" s="6" t="str">
        <f>IF(G352="", "", IF(ISNUMBER(_xlfn.XMATCH(G352, 'Champions Sheet'!H:H)), "Found in Master", "MISSING in Alicia's"))</f>
        <v>MISSING in Alicia's</v>
      </c>
      <c r="I352" s="6" t="str">
        <f>IF(G352="", "", IF(ISNUMBER(_xlfn.XMATCH(G352, 'State Google Tags on Account'!E:E)), "Found in Alicia API Pull", "MISSING in Alicia's API Pull"))</f>
        <v>Found in Alicia API Pull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idden="1">
      <c r="A353" s="8">
        <v>2.9589621E8</v>
      </c>
      <c r="B353" s="8">
        <v>4.88601532E8</v>
      </c>
      <c r="C353" s="6" t="s">
        <v>25</v>
      </c>
      <c r="D353" s="8">
        <v>3.6295701E8</v>
      </c>
      <c r="E353" s="6" t="s">
        <v>1601</v>
      </c>
      <c r="F353" s="11" t="s">
        <v>1599</v>
      </c>
      <c r="G353" s="6" t="s">
        <v>1600</v>
      </c>
      <c r="H353" s="6" t="str">
        <f>IF(G353="", "", IF(ISNUMBER(_xlfn.XMATCH(G353, 'Champions Sheet'!H:H)), "Found in Master", "MISSING in Alicia's"))</f>
        <v>MISSING in Alicia's</v>
      </c>
      <c r="I353" s="6" t="str">
        <f>IF(G353="", "", IF(ISNUMBER(_xlfn.XMATCH(G353, 'State Google Tags on Account'!E:E)), "Found in Alicia API Pull", "MISSING in Alicia's API Pull"))</f>
        <v>Found in Alicia API Pull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idden="1">
      <c r="A354" s="8">
        <v>2.9589621E8</v>
      </c>
      <c r="B354" s="8">
        <v>4.87084052E8</v>
      </c>
      <c r="C354" s="6" t="s">
        <v>61</v>
      </c>
      <c r="D354" s="8">
        <v>3.81633207E8</v>
      </c>
      <c r="E354" s="6" t="s">
        <v>1475</v>
      </c>
      <c r="F354" s="11" t="s">
        <v>1473</v>
      </c>
      <c r="G354" s="6" t="s">
        <v>1474</v>
      </c>
      <c r="H354" s="6" t="str">
        <f>IF(G354="", "", IF(ISNUMBER(_xlfn.XMATCH(G354, 'Champions Sheet'!H:H)), "Found in Master", "MISSING in Alicia's"))</f>
        <v>MISSING in Alicia's</v>
      </c>
      <c r="I354" s="6" t="str">
        <f>IF(G354="", "", IF(ISNUMBER(_xlfn.XMATCH(G354, 'State Google Tags on Account'!E:E)), "Found in Alicia API Pull", "MISSING in Alicia's API Pull"))</f>
        <v>Found in Alicia API Pull</v>
      </c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idden="1">
      <c r="A355" s="8">
        <v>2.9589621E8</v>
      </c>
      <c r="B355" s="8">
        <v>4.50964503E8</v>
      </c>
      <c r="C355" s="6" t="s">
        <v>43</v>
      </c>
      <c r="D355" s="8">
        <v>3.81633207E8</v>
      </c>
      <c r="E355" s="6" t="s">
        <v>1475</v>
      </c>
      <c r="F355" s="11" t="s">
        <v>1473</v>
      </c>
      <c r="G355" s="6" t="s">
        <v>1474</v>
      </c>
      <c r="H355" s="6" t="str">
        <f>IF(G355="", "", IF(ISNUMBER(_xlfn.XMATCH(G355, 'Champions Sheet'!H:H)), "Found in Master", "MISSING in Alicia's"))</f>
        <v>MISSING in Alicia's</v>
      </c>
      <c r="I355" s="6" t="str">
        <f>IF(G355="", "", IF(ISNUMBER(_xlfn.XMATCH(G355, 'State Google Tags on Account'!E:E)), "Found in Alicia API Pull", "MISSING in Alicia's API Pull"))</f>
        <v>Found in Alicia API Pull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idden="1">
      <c r="A356" s="8">
        <v>2.9589621E8</v>
      </c>
      <c r="B356" s="8">
        <v>4.50964503E8</v>
      </c>
      <c r="C356" s="6" t="s">
        <v>43</v>
      </c>
      <c r="D356" s="8">
        <v>3.69465002E8</v>
      </c>
      <c r="E356" s="6" t="s">
        <v>2015</v>
      </c>
      <c r="F356" s="11" t="s">
        <v>2016</v>
      </c>
      <c r="G356" s="6" t="s">
        <v>2017</v>
      </c>
      <c r="H356" s="6" t="str">
        <f>IF(G356="", "", IF(ISNUMBER(_xlfn.XMATCH(G356, 'Champions Sheet'!H:H)), "Found in Master", "MISSING in Alicia's"))</f>
        <v>MISSING in Alicia's</v>
      </c>
      <c r="I356" s="6" t="str">
        <f>IF(G356="", "", IF(ISNUMBER(_xlfn.XMATCH(G356, 'State Google Tags on Account'!E:E)), "Found in Alicia API Pull", "MISSING in Alicia's API Pull"))</f>
        <v>Found in Alicia API Pull</v>
      </c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idden="1">
      <c r="A357" s="8">
        <v>2.9589621E8</v>
      </c>
      <c r="B357" s="8">
        <v>4.87084052E8</v>
      </c>
      <c r="C357" s="6" t="s">
        <v>61</v>
      </c>
      <c r="D357" s="8">
        <v>3.81626468E8</v>
      </c>
      <c r="E357" s="6" t="s">
        <v>1202</v>
      </c>
      <c r="F357" s="11" t="s">
        <v>1466</v>
      </c>
      <c r="G357" s="6" t="s">
        <v>1467</v>
      </c>
      <c r="H357" s="6" t="str">
        <f>IF(G357="", "", IF(ISNUMBER(_xlfn.XMATCH(G357, 'Champions Sheet'!H:H)), "Found in Master", "MISSING in Alicia's"))</f>
        <v>MISSING in Alicia's</v>
      </c>
      <c r="I357" s="6" t="str">
        <f>IF(G357="", "", IF(ISNUMBER(_xlfn.XMATCH(G357, 'State Google Tags on Account'!E:E)), "Found in Alicia API Pull", "MISSING in Alicia's API Pull"))</f>
        <v>Found in Alicia API Pull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idden="1">
      <c r="A358" s="8">
        <v>2.9589621E8</v>
      </c>
      <c r="B358" s="8">
        <v>4.50964503E8</v>
      </c>
      <c r="C358" s="6" t="s">
        <v>43</v>
      </c>
      <c r="D358" s="8">
        <v>3.81626468E8</v>
      </c>
      <c r="E358" s="6" t="s">
        <v>1202</v>
      </c>
      <c r="F358" s="11" t="s">
        <v>1466</v>
      </c>
      <c r="G358" s="6" t="s">
        <v>1467</v>
      </c>
      <c r="H358" s="6" t="str">
        <f>IF(G358="", "", IF(ISNUMBER(_xlfn.XMATCH(G358, 'Champions Sheet'!H:H)), "Found in Master", "MISSING in Alicia's"))</f>
        <v>MISSING in Alicia's</v>
      </c>
      <c r="I358" s="6" t="str">
        <f>IF(G358="", "", IF(ISNUMBER(_xlfn.XMATCH(G358, 'State Google Tags on Account'!E:E)), "Found in Alicia API Pull", "MISSING in Alicia's API Pull"))</f>
        <v>Found in Alicia API Pull</v>
      </c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idden="1">
      <c r="A359" s="8">
        <v>2.9589621E8</v>
      </c>
      <c r="B359" s="8">
        <v>4.82151148E8</v>
      </c>
      <c r="C359" s="6" t="s">
        <v>282</v>
      </c>
      <c r="D359" s="8">
        <v>3.8162988E8</v>
      </c>
      <c r="E359" s="6" t="s">
        <v>1238</v>
      </c>
      <c r="F359" s="11" t="s">
        <v>1235</v>
      </c>
      <c r="G359" s="6" t="s">
        <v>1236</v>
      </c>
      <c r="H359" s="6" t="str">
        <f>IF(G359="", "", IF(ISNUMBER(_xlfn.XMATCH(G359, 'Champions Sheet'!H:H)), "Found in Master", "MISSING in Alicia's"))</f>
        <v>MISSING in Alicia's</v>
      </c>
      <c r="I359" s="6" t="str">
        <f>IF(G359="", "", IF(ISNUMBER(_xlfn.XMATCH(G359, 'State Google Tags on Account'!E:E)), "Found in Alicia API Pull", "MISSING in Alicia's API Pull"))</f>
        <v>Found in Alicia API Pull</v>
      </c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idden="1">
      <c r="A360" s="8">
        <v>2.9589621E8</v>
      </c>
      <c r="B360" s="8">
        <v>4.50964503E8</v>
      </c>
      <c r="C360" s="6" t="s">
        <v>43</v>
      </c>
      <c r="D360" s="8">
        <v>3.8162988E8</v>
      </c>
      <c r="E360" s="6" t="s">
        <v>1238</v>
      </c>
      <c r="F360" s="11" t="s">
        <v>1235</v>
      </c>
      <c r="G360" s="6" t="s">
        <v>1236</v>
      </c>
      <c r="H360" s="6" t="str">
        <f>IF(G360="", "", IF(ISNUMBER(_xlfn.XMATCH(G360, 'Champions Sheet'!H:H)), "Found in Master", "MISSING in Alicia's"))</f>
        <v>MISSING in Alicia's</v>
      </c>
      <c r="I360" s="6" t="str">
        <f>IF(G360="", "", IF(ISNUMBER(_xlfn.XMATCH(G360, 'State Google Tags on Account'!E:E)), "Found in Alicia API Pull", "MISSING in Alicia's API Pull"))</f>
        <v>Found in Alicia API Pull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idden="1">
      <c r="A361" s="8">
        <v>2.9589621E8</v>
      </c>
      <c r="B361" s="8">
        <v>4.50964503E8</v>
      </c>
      <c r="C361" s="6" t="s">
        <v>43</v>
      </c>
      <c r="D361" s="8">
        <v>3.64999585E8</v>
      </c>
      <c r="E361" s="6" t="s">
        <v>2007</v>
      </c>
      <c r="F361" s="11" t="s">
        <v>2005</v>
      </c>
      <c r="G361" s="6" t="s">
        <v>2006</v>
      </c>
      <c r="H361" s="6" t="str">
        <f>IF(G361="", "", IF(ISNUMBER(_xlfn.XMATCH(G361, 'Champions Sheet'!H:H)), "Found in Master", "MISSING in Alicia's"))</f>
        <v>MISSING in Alicia's</v>
      </c>
      <c r="I361" s="6" t="str">
        <f>IF(G361="", "", IF(ISNUMBER(_xlfn.XMATCH(G361, 'State Google Tags on Account'!E:E)), "Found in Alicia API Pull", "MISSING in Alicia's API Pull"))</f>
        <v>Found in Alicia API Pull</v>
      </c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idden="1">
      <c r="A362" s="8">
        <v>2.9589621E8</v>
      </c>
      <c r="B362" s="8">
        <v>4.50964503E8</v>
      </c>
      <c r="C362" s="6" t="s">
        <v>43</v>
      </c>
      <c r="D362" s="8">
        <v>3.81638159E8</v>
      </c>
      <c r="E362" s="6" t="s">
        <v>2010</v>
      </c>
      <c r="F362" s="11" t="s">
        <v>2008</v>
      </c>
      <c r="G362" s="6" t="s">
        <v>2009</v>
      </c>
      <c r="H362" s="6" t="str">
        <f>IF(G362="", "", IF(ISNUMBER(_xlfn.XMATCH(G362, 'Champions Sheet'!H:H)), "Found in Master", "MISSING in Alicia's"))</f>
        <v>MISSING in Alicia's</v>
      </c>
      <c r="I362" s="6" t="str">
        <f>IF(G362="", "", IF(ISNUMBER(_xlfn.XMATCH(G362, 'State Google Tags on Account'!E:E)), "Found in Alicia API Pull", "MISSING in Alicia's API Pull"))</f>
        <v>Found in Alicia API Pull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idden="1">
      <c r="A363" s="8">
        <v>2.9589621E8</v>
      </c>
      <c r="B363" s="8">
        <v>4.87084052E8</v>
      </c>
      <c r="C363" s="6" t="s">
        <v>61</v>
      </c>
      <c r="D363" s="8">
        <v>3.81627165E8</v>
      </c>
      <c r="E363" s="6" t="s">
        <v>1437</v>
      </c>
      <c r="F363" s="11" t="s">
        <v>1435</v>
      </c>
      <c r="G363" s="6" t="s">
        <v>1436</v>
      </c>
      <c r="H363" s="6" t="str">
        <f>IF(G363="", "", IF(ISNUMBER(_xlfn.XMATCH(G363, 'Champions Sheet'!H:H)), "Found in Master", "MISSING in Alicia's"))</f>
        <v>MISSING in Alicia's</v>
      </c>
      <c r="I363" s="6" t="str">
        <f>IF(G363="", "", IF(ISNUMBER(_xlfn.XMATCH(G363, 'State Google Tags on Account'!E:E)), "Found in Alicia API Pull", "MISSING in Alicia's API Pull"))</f>
        <v>Found in Alicia API Pull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idden="1">
      <c r="A364" s="8">
        <v>2.9589621E8</v>
      </c>
      <c r="B364" s="8">
        <v>4.50964503E8</v>
      </c>
      <c r="C364" s="6" t="s">
        <v>43</v>
      </c>
      <c r="D364" s="8">
        <v>3.81627165E8</v>
      </c>
      <c r="E364" s="6" t="s">
        <v>1437</v>
      </c>
      <c r="F364" s="11" t="s">
        <v>1435</v>
      </c>
      <c r="G364" s="6" t="s">
        <v>1436</v>
      </c>
      <c r="H364" s="6" t="str">
        <f>IF(G364="", "", IF(ISNUMBER(_xlfn.XMATCH(G364, 'Champions Sheet'!H:H)), "Found in Master", "MISSING in Alicia's"))</f>
        <v>MISSING in Alicia's</v>
      </c>
      <c r="I364" s="6" t="str">
        <f>IF(G364="", "", IF(ISNUMBER(_xlfn.XMATCH(G364, 'State Google Tags on Account'!E:E)), "Found in Alicia API Pull", "MISSING in Alicia's API Pull"))</f>
        <v>Found in Alicia API Pull</v>
      </c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idden="1">
      <c r="A365" s="8">
        <v>2.9589621E8</v>
      </c>
      <c r="B365" s="8">
        <v>4.82352716E8</v>
      </c>
      <c r="C365" s="6" t="s">
        <v>179</v>
      </c>
      <c r="D365" s="8">
        <v>3.72006334E8</v>
      </c>
      <c r="E365" s="6" t="s">
        <v>1012</v>
      </c>
      <c r="F365" s="11" t="s">
        <v>1008</v>
      </c>
      <c r="G365" s="6" t="s">
        <v>1011</v>
      </c>
      <c r="H365" s="6" t="str">
        <f>IF(G365="", "", IF(ISNUMBER(_xlfn.XMATCH(G365, 'Champions Sheet'!H:H)), "Found in Master", "MISSING in Alicia's"))</f>
        <v>MISSING in Alicia's</v>
      </c>
      <c r="I365" s="6" t="str">
        <f>IF(G365="", "", IF(ISNUMBER(_xlfn.XMATCH(G365, 'State Google Tags on Account'!E:E)), "Found in Alicia API Pull", "MISSING in Alicia's API Pull"))</f>
        <v>Found in Alicia API Pull</v>
      </c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idden="1">
      <c r="A366" s="8">
        <v>2.9589621E8</v>
      </c>
      <c r="B366" s="8">
        <v>4.50964503E8</v>
      </c>
      <c r="C366" s="6" t="s">
        <v>43</v>
      </c>
      <c r="D366" s="8">
        <v>3.72006334E8</v>
      </c>
      <c r="E366" s="6" t="s">
        <v>1012</v>
      </c>
      <c r="F366" s="11" t="s">
        <v>1008</v>
      </c>
      <c r="G366" s="6" t="s">
        <v>1011</v>
      </c>
      <c r="H366" s="6" t="str">
        <f>IF(G366="", "", IF(ISNUMBER(_xlfn.XMATCH(G366, 'Champions Sheet'!H:H)), "Found in Master", "MISSING in Alicia's"))</f>
        <v>MISSING in Alicia's</v>
      </c>
      <c r="I366" s="6" t="str">
        <f>IF(G366="", "", IF(ISNUMBER(_xlfn.XMATCH(G366, 'State Google Tags on Account'!E:E)), "Found in Alicia API Pull", "MISSING in Alicia's API Pull"))</f>
        <v>Found in Alicia API Pull</v>
      </c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idden="1">
      <c r="A367" s="8">
        <v>2.9589621E8</v>
      </c>
      <c r="B367" s="8">
        <v>4.50964503E8</v>
      </c>
      <c r="C367" s="6" t="s">
        <v>43</v>
      </c>
      <c r="D367" s="8">
        <v>3.61440077E8</v>
      </c>
      <c r="E367" s="6" t="s">
        <v>1963</v>
      </c>
      <c r="F367" s="11" t="s">
        <v>1961</v>
      </c>
      <c r="G367" s="6" t="s">
        <v>1962</v>
      </c>
      <c r="H367" s="6" t="str">
        <f>IF(G367="", "", IF(ISNUMBER(_xlfn.XMATCH(G367, 'Champions Sheet'!H:H)), "Found in Master", "MISSING in Alicia's"))</f>
        <v>MISSING in Alicia's</v>
      </c>
      <c r="I367" s="6" t="str">
        <f>IF(G367="", "", IF(ISNUMBER(_xlfn.XMATCH(G367, 'State Google Tags on Account'!E:E)), "Found in Alicia API Pull", "MISSING in Alicia's API Pull"))</f>
        <v>Found in Alicia API Pull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idden="1">
      <c r="A368" s="8">
        <v>2.9589621E8</v>
      </c>
      <c r="B368" s="8">
        <v>4.87657823E8</v>
      </c>
      <c r="C368" s="6" t="s">
        <v>333</v>
      </c>
      <c r="D368" s="8">
        <v>3.83873666E8</v>
      </c>
      <c r="E368" s="6" t="s">
        <v>1610</v>
      </c>
      <c r="F368" s="11" t="s">
        <v>1608</v>
      </c>
      <c r="G368" s="6" t="s">
        <v>1609</v>
      </c>
      <c r="H368" s="6" t="str">
        <f>IF(G368="", "", IF(ISNUMBER(_xlfn.XMATCH(G368, 'Champions Sheet'!H:H)), "Found in Master", "MISSING in Alicia's"))</f>
        <v>MISSING in Alicia's</v>
      </c>
      <c r="I368" s="6" t="str">
        <f>IF(G368="", "", IF(ISNUMBER(_xlfn.XMATCH(G368, 'State Google Tags on Account'!E:E)), "Found in Alicia API Pull", "MISSING in Alicia's API Pull"))</f>
        <v>Found in Alicia API Pull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idden="1">
      <c r="A369" s="8">
        <v>2.9589621E8</v>
      </c>
      <c r="B369" s="8">
        <v>4.50964503E8</v>
      </c>
      <c r="C369" s="6" t="s">
        <v>43</v>
      </c>
      <c r="D369" s="8">
        <v>3.83873666E8</v>
      </c>
      <c r="E369" s="6" t="s">
        <v>1610</v>
      </c>
      <c r="F369" s="11" t="s">
        <v>1608</v>
      </c>
      <c r="G369" s="6" t="s">
        <v>1609</v>
      </c>
      <c r="H369" s="6" t="str">
        <f>IF(G369="", "", IF(ISNUMBER(_xlfn.XMATCH(G369, 'Champions Sheet'!H:H)), "Found in Master", "MISSING in Alicia's"))</f>
        <v>MISSING in Alicia's</v>
      </c>
      <c r="I369" s="6" t="str">
        <f>IF(G369="", "", IF(ISNUMBER(_xlfn.XMATCH(G369, 'State Google Tags on Account'!E:E)), "Found in Alicia API Pull", "MISSING in Alicia's API Pull"))</f>
        <v>Found in Alicia API Pull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idden="1">
      <c r="A370" s="8">
        <v>2.9589621E8</v>
      </c>
      <c r="B370" s="8">
        <v>4.83039742E8</v>
      </c>
      <c r="C370" s="6" t="s">
        <v>408</v>
      </c>
      <c r="D370" s="8">
        <v>4.03763792E8</v>
      </c>
      <c r="E370" s="6" t="s">
        <v>552</v>
      </c>
      <c r="F370" s="11" t="s">
        <v>549</v>
      </c>
      <c r="G370" s="6" t="s">
        <v>550</v>
      </c>
      <c r="H370" s="6" t="str">
        <f>IF(G370="", "", IF(ISNUMBER(_xlfn.XMATCH(G370, 'Champions Sheet'!H:H)), "Found in Master", "MISSING in Alicia's"))</f>
        <v>MISSING in Alicia's</v>
      </c>
      <c r="I370" s="6" t="str">
        <f>IF(G370="", "", IF(ISNUMBER(_xlfn.XMATCH(G370, 'State Google Tags on Account'!E:E)), "Found in Alicia API Pull", "MISSING in Alicia's API Pull"))</f>
        <v>Found in Alicia API Pull</v>
      </c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idden="1">
      <c r="A371" s="8">
        <v>2.9589621E8</v>
      </c>
      <c r="B371" s="8">
        <v>4.50964503E8</v>
      </c>
      <c r="C371" s="6" t="s">
        <v>43</v>
      </c>
      <c r="D371" s="8">
        <v>4.03763792E8</v>
      </c>
      <c r="E371" s="6" t="s">
        <v>552</v>
      </c>
      <c r="F371" s="11" t="s">
        <v>549</v>
      </c>
      <c r="G371" s="6" t="s">
        <v>550</v>
      </c>
      <c r="H371" s="6" t="str">
        <f>IF(G371="", "", IF(ISNUMBER(_xlfn.XMATCH(G371, 'Champions Sheet'!H:H)), "Found in Master", "MISSING in Alicia's"))</f>
        <v>MISSING in Alicia's</v>
      </c>
      <c r="I371" s="6" t="str">
        <f>IF(G371="", "", IF(ISNUMBER(_xlfn.XMATCH(G371, 'State Google Tags on Account'!E:E)), "Found in Alicia API Pull", "MISSING in Alicia's API Pull"))</f>
        <v>Found in Alicia API Pull</v>
      </c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idden="1">
      <c r="A372" s="8">
        <v>2.9589621E8</v>
      </c>
      <c r="B372" s="8">
        <v>4.82151148E8</v>
      </c>
      <c r="C372" s="6" t="s">
        <v>282</v>
      </c>
      <c r="D372" s="8">
        <v>3.77129194E8</v>
      </c>
      <c r="E372" s="6" t="s">
        <v>1228</v>
      </c>
      <c r="F372" s="11" t="s">
        <v>2077</v>
      </c>
      <c r="G372" s="6" t="s">
        <v>1226</v>
      </c>
      <c r="H372" s="6" t="str">
        <f>IF(G372="", "", IF(ISNUMBER(_xlfn.XMATCH(G372, 'Champions Sheet'!H:H)), "Found in Master", "MISSING in Alicia's"))</f>
        <v>MISSING in Alicia's</v>
      </c>
      <c r="I372" s="6" t="str">
        <f>IF(G372="", "", IF(ISNUMBER(_xlfn.XMATCH(G372, 'State Google Tags on Account'!E:E)), "Found in Alicia API Pull", "MISSING in Alicia's API Pull"))</f>
        <v>Found in Alicia API Pull</v>
      </c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idden="1">
      <c r="A373" s="8">
        <v>2.9589621E8</v>
      </c>
      <c r="B373" s="8">
        <v>4.50964503E8</v>
      </c>
      <c r="C373" s="6" t="s">
        <v>43</v>
      </c>
      <c r="D373" s="8">
        <v>3.77129194E8</v>
      </c>
      <c r="E373" s="6" t="s">
        <v>1228</v>
      </c>
      <c r="F373" s="11" t="s">
        <v>2077</v>
      </c>
      <c r="G373" s="6" t="s">
        <v>1226</v>
      </c>
      <c r="H373" s="6" t="str">
        <f>IF(G373="", "", IF(ISNUMBER(_xlfn.XMATCH(G373, 'Champions Sheet'!H:H)), "Found in Master", "MISSING in Alicia's"))</f>
        <v>MISSING in Alicia's</v>
      </c>
      <c r="I373" s="6" t="str">
        <f>IF(G373="", "", IF(ISNUMBER(_xlfn.XMATCH(G373, 'State Google Tags on Account'!E:E)), "Found in Alicia API Pull", "MISSING in Alicia's API Pull"))</f>
        <v>Found in Alicia API Pull</v>
      </c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idden="1">
      <c r="A374" s="8">
        <v>2.9589621E8</v>
      </c>
      <c r="B374" s="8">
        <v>4.87657823E8</v>
      </c>
      <c r="C374" s="6" t="s">
        <v>333</v>
      </c>
      <c r="D374" s="8">
        <v>4.48898472E8</v>
      </c>
      <c r="E374" s="6" t="s">
        <v>1398</v>
      </c>
      <c r="F374" s="11" t="s">
        <v>1394</v>
      </c>
      <c r="G374" s="6" t="s">
        <v>1397</v>
      </c>
      <c r="H374" s="6" t="str">
        <f>IF(G374="", "", IF(ISNUMBER(_xlfn.XMATCH(G374, 'Champions Sheet'!H:H)), "Found in Master", "MISSING in Alicia's"))</f>
        <v>Found in Master</v>
      </c>
      <c r="I374" s="6" t="str">
        <f>IF(G374="", "", IF(ISNUMBER(_xlfn.XMATCH(G374, 'State Google Tags on Account'!E:E)), "Found in Alicia API Pull", "MISSING in Alicia's API Pull"))</f>
        <v>Found in Alicia API Pull</v>
      </c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idden="1">
      <c r="A375" s="8">
        <v>2.9589621E8</v>
      </c>
      <c r="B375" s="8">
        <v>4.50964503E8</v>
      </c>
      <c r="C375" s="6" t="s">
        <v>43</v>
      </c>
      <c r="D375" s="8">
        <v>4.48898472E8</v>
      </c>
      <c r="E375" s="6" t="s">
        <v>1398</v>
      </c>
      <c r="F375" s="11" t="s">
        <v>1394</v>
      </c>
      <c r="G375" s="6" t="s">
        <v>1397</v>
      </c>
      <c r="H375" s="6" t="str">
        <f>IF(G375="", "", IF(ISNUMBER(_xlfn.XMATCH(G375, 'Champions Sheet'!H:H)), "Found in Master", "MISSING in Alicia's"))</f>
        <v>Found in Master</v>
      </c>
      <c r="I375" s="6" t="str">
        <f>IF(G375="", "", IF(ISNUMBER(_xlfn.XMATCH(G375, 'State Google Tags on Account'!E:E)), "Found in Alicia API Pull", "MISSING in Alicia's API Pull"))</f>
        <v>Found in Alicia API Pull</v>
      </c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idden="1">
      <c r="A376" s="8">
        <v>2.9589621E8</v>
      </c>
      <c r="B376" s="8">
        <v>4.88601532E8</v>
      </c>
      <c r="C376" s="6" t="s">
        <v>25</v>
      </c>
      <c r="D376" s="8">
        <v>3.46361093E8</v>
      </c>
      <c r="E376" s="6" t="s">
        <v>1531</v>
      </c>
      <c r="F376" s="11" t="s">
        <v>1535</v>
      </c>
      <c r="G376" s="6" t="s">
        <v>1540</v>
      </c>
      <c r="H376" s="6" t="str">
        <f>IF(G376="", "", IF(ISNUMBER(_xlfn.XMATCH(G376, 'Champions Sheet'!H:H)), "Found in Master", "MISSING in Alicia's"))</f>
        <v>MISSING in Alicia's</v>
      </c>
      <c r="I376" s="6" t="str">
        <f>IF(G376="", "", IF(ISNUMBER(_xlfn.XMATCH(G376, 'State Google Tags on Account'!E:E)), "Found in Alicia API Pull", "MISSING in Alicia's API Pull"))</f>
        <v>Found in Alicia API Pull</v>
      </c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idden="1">
      <c r="A377" s="8">
        <v>2.9589621E8</v>
      </c>
      <c r="B377" s="8">
        <v>4.82352716E8</v>
      </c>
      <c r="C377" s="6" t="s">
        <v>179</v>
      </c>
      <c r="D377" s="8">
        <v>4.01215181E8</v>
      </c>
      <c r="E377" s="6" t="s">
        <v>1030</v>
      </c>
      <c r="F377" s="11" t="s">
        <v>1026</v>
      </c>
      <c r="G377" s="6" t="s">
        <v>1029</v>
      </c>
      <c r="H377" s="6" t="str">
        <f>IF(G377="", "", IF(ISNUMBER(_xlfn.XMATCH(G377, 'Champions Sheet'!H:H)), "Found in Master", "MISSING in Alicia's"))</f>
        <v>Found in Master</v>
      </c>
      <c r="I377" s="6" t="str">
        <f>IF(G377="", "", IF(ISNUMBER(_xlfn.XMATCH(G377, 'State Google Tags on Account'!E:E)), "Found in Alicia API Pull", "MISSING in Alicia's API Pull"))</f>
        <v>Found in Alicia API Pull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idden="1">
      <c r="A378" s="8">
        <v>2.9589621E8</v>
      </c>
      <c r="B378" s="8">
        <v>4.50964503E8</v>
      </c>
      <c r="C378" s="6" t="s">
        <v>43</v>
      </c>
      <c r="D378" s="8">
        <v>4.01215181E8</v>
      </c>
      <c r="E378" s="6" t="s">
        <v>1030</v>
      </c>
      <c r="F378" s="11" t="s">
        <v>1026</v>
      </c>
      <c r="G378" s="6" t="s">
        <v>1029</v>
      </c>
      <c r="H378" s="6" t="str">
        <f>IF(G378="", "", IF(ISNUMBER(_xlfn.XMATCH(G378, 'Champions Sheet'!H:H)), "Found in Master", "MISSING in Alicia's"))</f>
        <v>Found in Master</v>
      </c>
      <c r="I378" s="6" t="str">
        <f>IF(G378="", "", IF(ISNUMBER(_xlfn.XMATCH(G378, 'State Google Tags on Account'!E:E)), "Found in Alicia API Pull", "MISSING in Alicia's API Pull"))</f>
        <v>Found in Alicia API Pull</v>
      </c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idden="1">
      <c r="A379" s="8">
        <v>2.9589621E8</v>
      </c>
      <c r="B379" s="8">
        <v>4.87084052E8</v>
      </c>
      <c r="C379" s="6" t="s">
        <v>61</v>
      </c>
      <c r="D379" s="8">
        <v>3.59405403E8</v>
      </c>
      <c r="E379" s="6" t="s">
        <v>1450</v>
      </c>
      <c r="F379" s="11" t="s">
        <v>1448</v>
      </c>
      <c r="G379" s="6" t="s">
        <v>1449</v>
      </c>
      <c r="H379" s="6" t="str">
        <f>IF(G379="", "", IF(ISNUMBER(_xlfn.XMATCH(G379, 'Champions Sheet'!H:H)), "Found in Master", "MISSING in Alicia's"))</f>
        <v>MISSING in Alicia's</v>
      </c>
      <c r="I379" s="6" t="str">
        <f>IF(G379="", "", IF(ISNUMBER(_xlfn.XMATCH(G379, 'State Google Tags on Account'!E:E)), "Found in Alicia API Pull", "MISSING in Alicia's API Pull"))</f>
        <v>Found in Alicia API Pull</v>
      </c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idden="1">
      <c r="A380" s="8">
        <v>2.9589621E8</v>
      </c>
      <c r="B380" s="8">
        <v>4.88601532E8</v>
      </c>
      <c r="C380" s="6" t="s">
        <v>25</v>
      </c>
      <c r="D380" s="8">
        <v>3.59405403E8</v>
      </c>
      <c r="E380" s="6" t="s">
        <v>1450</v>
      </c>
      <c r="F380" s="11" t="s">
        <v>1448</v>
      </c>
      <c r="G380" s="6" t="s">
        <v>1449</v>
      </c>
      <c r="H380" s="6" t="str">
        <f>IF(G380="", "", IF(ISNUMBER(_xlfn.XMATCH(G380, 'Champions Sheet'!H:H)), "Found in Master", "MISSING in Alicia's"))</f>
        <v>MISSING in Alicia's</v>
      </c>
      <c r="I380" s="6" t="str">
        <f>IF(G380="", "", IF(ISNUMBER(_xlfn.XMATCH(G380, 'State Google Tags on Account'!E:E)), "Found in Alicia API Pull", "MISSING in Alicia's API Pull"))</f>
        <v>Found in Alicia API Pull</v>
      </c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idden="1">
      <c r="A381" s="8">
        <v>2.9589621E8</v>
      </c>
      <c r="B381" s="8">
        <v>4.50964503E8</v>
      </c>
      <c r="C381" s="6" t="s">
        <v>43</v>
      </c>
      <c r="D381" s="8">
        <v>4.23413386E8</v>
      </c>
      <c r="E381" s="6" t="s">
        <v>1441</v>
      </c>
      <c r="F381" s="11" t="s">
        <v>1438</v>
      </c>
      <c r="G381" s="6" t="s">
        <v>1440</v>
      </c>
      <c r="H381" s="6" t="str">
        <f>IF(G381="", "", IF(ISNUMBER(_xlfn.XMATCH(G381, 'Champions Sheet'!H:H)), "Found in Master", "MISSING in Alicia's"))</f>
        <v>Found in Master</v>
      </c>
      <c r="I381" s="6" t="str">
        <f>IF(G381="", "", IF(ISNUMBER(_xlfn.XMATCH(G381, 'State Google Tags on Account'!E:E)), "Found in Alicia API Pull", "MISSING in Alicia's API Pull"))</f>
        <v>Found in Alicia API Pull</v>
      </c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idden="1">
      <c r="A382" s="8">
        <v>2.9589621E8</v>
      </c>
      <c r="B382" s="8">
        <v>4.83012671E8</v>
      </c>
      <c r="C382" s="6" t="s">
        <v>462</v>
      </c>
      <c r="D382" s="8">
        <v>3.46607534E8</v>
      </c>
      <c r="E382" s="6" t="s">
        <v>169</v>
      </c>
      <c r="F382" s="11" t="s">
        <v>166</v>
      </c>
      <c r="G382" s="6" t="s">
        <v>167</v>
      </c>
      <c r="H382" s="6" t="str">
        <f>IF(G382="", "", IF(ISNUMBER(_xlfn.XMATCH(G382, 'Champions Sheet'!H:H)), "Found in Master", "MISSING in Alicia's"))</f>
        <v>MISSING in Alicia's</v>
      </c>
      <c r="I382" s="6" t="str">
        <f>IF(G382="", "", IF(ISNUMBER(_xlfn.XMATCH(G382, 'State Google Tags on Account'!E:E)), "Found in Alicia API Pull", "MISSING in Alicia's API Pull"))</f>
        <v>Found in Alicia API Pull</v>
      </c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idden="1">
      <c r="A383" s="8">
        <v>2.9589621E8</v>
      </c>
      <c r="B383" s="8">
        <v>4.50964503E8</v>
      </c>
      <c r="C383" s="6" t="s">
        <v>43</v>
      </c>
      <c r="D383" s="8">
        <v>3.46607534E8</v>
      </c>
      <c r="E383" s="6" t="s">
        <v>169</v>
      </c>
      <c r="F383" s="11" t="s">
        <v>166</v>
      </c>
      <c r="G383" s="6" t="s">
        <v>167</v>
      </c>
      <c r="H383" s="6" t="str">
        <f>IF(G383="", "", IF(ISNUMBER(_xlfn.XMATCH(G383, 'Champions Sheet'!H:H)), "Found in Master", "MISSING in Alicia's"))</f>
        <v>MISSING in Alicia's</v>
      </c>
      <c r="I383" s="6" t="str">
        <f>IF(G383="", "", IF(ISNUMBER(_xlfn.XMATCH(G383, 'State Google Tags on Account'!E:E)), "Found in Alicia API Pull", "MISSING in Alicia's API Pull"))</f>
        <v>Found in Alicia API Pull</v>
      </c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8">
        <v>2.9589621E8</v>
      </c>
      <c r="B384" s="8">
        <v>4.82352716E8</v>
      </c>
      <c r="C384" s="6" t="s">
        <v>179</v>
      </c>
      <c r="D384" s="8">
        <v>3.46723717E8</v>
      </c>
      <c r="E384" s="6" t="s">
        <v>980</v>
      </c>
      <c r="F384" s="6" t="s">
        <v>2168</v>
      </c>
      <c r="G384" s="6" t="s">
        <v>2169</v>
      </c>
      <c r="H384" s="6" t="str">
        <f>IF(G384="", "", IF(ISNUMBER(_xlfn.XMATCH(G384, 'Champions Sheet'!H:H)), "Found in Master", "MISSING in Alicia's"))</f>
        <v>MISSING in Alicia's</v>
      </c>
      <c r="I384" s="5" t="s">
        <v>2170</v>
      </c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idden="1">
      <c r="A385" s="8">
        <v>2.9589621E8</v>
      </c>
      <c r="B385" s="8">
        <v>4.50964503E8</v>
      </c>
      <c r="C385" s="6" t="s">
        <v>43</v>
      </c>
      <c r="D385" s="8">
        <v>3.46723717E8</v>
      </c>
      <c r="E385" s="6" t="s">
        <v>980</v>
      </c>
      <c r="F385" s="6" t="s">
        <v>2168</v>
      </c>
      <c r="G385" s="6" t="s">
        <v>2169</v>
      </c>
      <c r="H385" s="6" t="str">
        <f>IF(G385="", "", IF(ISNUMBER(_xlfn.XMATCH(G385, 'Champions Sheet'!H:H)), "Found in Master", "MISSING in Alicia's"))</f>
        <v>MISSING in Alicia's</v>
      </c>
      <c r="I385" s="6" t="str">
        <f>IF(G385="", "", IF(ISNUMBER(_xlfn.XMATCH(G385, 'State Google Tags on Account'!E:E)), "Found in Alicia API Pull", "MISSING in Alicia's API Pull"))</f>
        <v>MISSING in Alicia's API Pull</v>
      </c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idden="1">
      <c r="A386" s="8">
        <v>2.9589621E8</v>
      </c>
      <c r="B386" s="8">
        <v>4.50964503E8</v>
      </c>
      <c r="C386" s="6" t="s">
        <v>43</v>
      </c>
      <c r="D386" s="8">
        <v>2.92131495E8</v>
      </c>
      <c r="E386" s="6" t="s">
        <v>436</v>
      </c>
      <c r="F386" s="11" t="s">
        <v>439</v>
      </c>
      <c r="G386" s="6" t="s">
        <v>440</v>
      </c>
      <c r="H386" s="6" t="str">
        <f>IF(G386="", "", IF(ISNUMBER(_xlfn.XMATCH(G386, 'Champions Sheet'!H:H)), "Found in Master", "MISSING in Alicia's"))</f>
        <v>Found in Master</v>
      </c>
      <c r="I386" s="6" t="str">
        <f>IF(G386="", "", IF(ISNUMBER(_xlfn.XMATCH(G386, 'State Google Tags on Account'!E:E)), "Found in Alicia API Pull", "MISSING in Alicia's API Pull"))</f>
        <v>Found in Alicia API Pull</v>
      </c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idden="1">
      <c r="A387" s="8">
        <v>2.9589621E8</v>
      </c>
      <c r="B387" s="8">
        <v>4.57684582E8</v>
      </c>
      <c r="C387" s="6" t="s">
        <v>2118</v>
      </c>
      <c r="D387" s="8">
        <v>2.92131495E8</v>
      </c>
      <c r="E387" s="6" t="s">
        <v>436</v>
      </c>
      <c r="F387" s="11" t="s">
        <v>439</v>
      </c>
      <c r="G387" s="6" t="s">
        <v>440</v>
      </c>
      <c r="H387" s="6" t="str">
        <f>IF(G387="", "", IF(ISNUMBER(_xlfn.XMATCH(G387, 'Champions Sheet'!H:H)), "Found in Master", "MISSING in Alicia's"))</f>
        <v>Found in Master</v>
      </c>
      <c r="I387" s="6" t="str">
        <f>IF(G387="", "", IF(ISNUMBER(_xlfn.XMATCH(G387, 'State Google Tags on Account'!E:E)), "Found in Alicia API Pull", "MISSING in Alicia's API Pull"))</f>
        <v>Found in Alicia API Pull</v>
      </c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idden="1">
      <c r="A388" s="8">
        <v>2.9589621E8</v>
      </c>
      <c r="B388" s="8">
        <v>4.83012671E8</v>
      </c>
      <c r="C388" s="6" t="s">
        <v>462</v>
      </c>
      <c r="D388" s="8">
        <v>3.50523403E8</v>
      </c>
      <c r="E388" s="6" t="s">
        <v>175</v>
      </c>
      <c r="F388" s="11" t="s">
        <v>173</v>
      </c>
      <c r="G388" s="6" t="s">
        <v>174</v>
      </c>
      <c r="H388" s="6" t="str">
        <f>IF(G388="", "", IF(ISNUMBER(_xlfn.XMATCH(G388, 'Champions Sheet'!H:H)), "Found in Master", "MISSING in Alicia's"))</f>
        <v>MISSING in Alicia's</v>
      </c>
      <c r="I388" s="6" t="str">
        <f>IF(G388="", "", IF(ISNUMBER(_xlfn.XMATCH(G388, 'State Google Tags on Account'!E:E)), "Found in Alicia API Pull", "MISSING in Alicia's API Pull"))</f>
        <v>Found in Alicia API Pull</v>
      </c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idden="1">
      <c r="A389" s="8">
        <v>2.9589621E8</v>
      </c>
      <c r="B389" s="8">
        <v>4.88601532E8</v>
      </c>
      <c r="C389" s="6" t="s">
        <v>25</v>
      </c>
      <c r="D389" s="8">
        <v>3.50523403E8</v>
      </c>
      <c r="E389" s="6" t="s">
        <v>175</v>
      </c>
      <c r="F389" s="11" t="s">
        <v>173</v>
      </c>
      <c r="G389" s="6" t="s">
        <v>174</v>
      </c>
      <c r="H389" s="6" t="str">
        <f>IF(G389="", "", IF(ISNUMBER(_xlfn.XMATCH(G389, 'Champions Sheet'!H:H)), "Found in Master", "MISSING in Alicia's"))</f>
        <v>MISSING in Alicia's</v>
      </c>
      <c r="I389" s="6" t="str">
        <f>IF(G389="", "", IF(ISNUMBER(_xlfn.XMATCH(G389, 'State Google Tags on Account'!E:E)), "Found in Alicia API Pull", "MISSING in Alicia's API Pull"))</f>
        <v>Found in Alicia API Pull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idden="1">
      <c r="A390" s="8">
        <v>2.9589621E8</v>
      </c>
      <c r="B390" s="8">
        <v>4.50964503E8</v>
      </c>
      <c r="C390" s="6" t="s">
        <v>43</v>
      </c>
      <c r="D390" s="8">
        <v>2.91228599E8</v>
      </c>
      <c r="E390" s="6" t="s">
        <v>336</v>
      </c>
      <c r="F390" s="11" t="s">
        <v>338</v>
      </c>
      <c r="G390" s="6" t="s">
        <v>341</v>
      </c>
      <c r="H390" s="6" t="str">
        <f>IF(G390="", "", IF(ISNUMBER(_xlfn.XMATCH(G390, 'Champions Sheet'!H:H)), "Found in Master", "MISSING in Alicia's"))</f>
        <v>MISSING in Alicia's</v>
      </c>
      <c r="I390" s="6" t="str">
        <f>IF(G390="", "", IF(ISNUMBER(_xlfn.XMATCH(G390, 'State Google Tags on Account'!E:E)), "Found in Alicia API Pull", "MISSING in Alicia's API Pull"))</f>
        <v>Found in Alicia API Pull</v>
      </c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idden="1">
      <c r="A391" s="8">
        <v>2.9589621E8</v>
      </c>
      <c r="B391" s="8">
        <v>4.50964503E8</v>
      </c>
      <c r="C391" s="6" t="s">
        <v>43</v>
      </c>
      <c r="D391" s="8">
        <v>3.45269596E8</v>
      </c>
      <c r="E391" s="6" t="s">
        <v>1298</v>
      </c>
      <c r="F391" s="11" t="s">
        <v>1301</v>
      </c>
      <c r="G391" s="6" t="s">
        <v>1306</v>
      </c>
      <c r="H391" s="6" t="str">
        <f>IF(G391="", "", IF(ISNUMBER(_xlfn.XMATCH(G391, 'Champions Sheet'!H:H)), "Found in Master", "MISSING in Alicia's"))</f>
        <v>MISSING in Alicia's</v>
      </c>
      <c r="I391" s="6" t="str">
        <f>IF(G391="", "", IF(ISNUMBER(_xlfn.XMATCH(G391, 'State Google Tags on Account'!E:E)), "Found in Alicia API Pull", "MISSING in Alicia's API Pull"))</f>
        <v>Found in Alicia API Pull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idden="1">
      <c r="A392" s="8">
        <v>2.9589621E8</v>
      </c>
      <c r="B392" s="8">
        <v>4.88601532E8</v>
      </c>
      <c r="C392" s="6" t="s">
        <v>25</v>
      </c>
      <c r="D392" s="8">
        <v>3.45264877E8</v>
      </c>
      <c r="E392" s="6" t="s">
        <v>1284</v>
      </c>
      <c r="F392" s="11" t="s">
        <v>1286</v>
      </c>
      <c r="G392" s="6" t="s">
        <v>1293</v>
      </c>
      <c r="H392" s="6" t="str">
        <f>IF(G392="", "", IF(ISNUMBER(_xlfn.XMATCH(G392, 'Champions Sheet'!H:H)), "Found in Master", "MISSING in Alicia's"))</f>
        <v>MISSING in Alicia's</v>
      </c>
      <c r="I392" s="6" t="str">
        <f>IF(G392="", "", IF(ISNUMBER(_xlfn.XMATCH(G392, 'State Google Tags on Account'!E:E)), "Found in Alicia API Pull", "MISSING in Alicia's API Pull"))</f>
        <v>Found in Alicia API Pull</v>
      </c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8">
        <v>2.9589621E8</v>
      </c>
      <c r="B393" s="8">
        <v>4.50964503E8</v>
      </c>
      <c r="C393" s="6" t="s">
        <v>43</v>
      </c>
      <c r="D393" s="8">
        <v>2.85499201E8</v>
      </c>
      <c r="E393" s="6" t="s">
        <v>279</v>
      </c>
      <c r="F393" s="6" t="s">
        <v>2171</v>
      </c>
      <c r="G393" s="6" t="s">
        <v>2172</v>
      </c>
      <c r="H393" s="6" t="str">
        <f>IF(G393="", "", IF(ISNUMBER(_xlfn.XMATCH(G393, 'Champions Sheet'!H:H)), "Found in Master", "MISSING in Alicia's"))</f>
        <v>MISSING in Alicia's</v>
      </c>
      <c r="I393" s="5" t="s">
        <v>2173</v>
      </c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idden="1">
      <c r="A394" s="8">
        <v>2.9589621E8</v>
      </c>
      <c r="B394" s="8">
        <v>4.87084052E8</v>
      </c>
      <c r="C394" s="6" t="s">
        <v>61</v>
      </c>
      <c r="D394" s="8">
        <v>2.55775667E8</v>
      </c>
      <c r="E394" s="6" t="s">
        <v>46</v>
      </c>
      <c r="F394" s="11" t="s">
        <v>51</v>
      </c>
      <c r="G394" s="6" t="s">
        <v>58</v>
      </c>
      <c r="H394" s="6" t="str">
        <f>IF(G394="", "", IF(ISNUMBER(_xlfn.XMATCH(G394, 'Champions Sheet'!H:H)), "Found in Master", "MISSING in Alicia's"))</f>
        <v>MISSING in Alicia's</v>
      </c>
      <c r="I394" s="6" t="str">
        <f>IF(G394="", "", IF(ISNUMBER(_xlfn.XMATCH(G394, 'State Google Tags on Account'!E:E)), "Found in Alicia API Pull", "MISSING in Alicia's API Pull"))</f>
        <v>Found in Alicia API Pull</v>
      </c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idden="1">
      <c r="A395" s="8">
        <v>2.9589621E8</v>
      </c>
      <c r="B395" s="8">
        <v>4.50964503E8</v>
      </c>
      <c r="C395" s="6" t="s">
        <v>43</v>
      </c>
      <c r="D395" s="8">
        <v>2.55775667E8</v>
      </c>
      <c r="E395" s="6" t="s">
        <v>46</v>
      </c>
      <c r="F395" s="11" t="s">
        <v>51</v>
      </c>
      <c r="G395" s="6" t="s">
        <v>58</v>
      </c>
      <c r="H395" s="6" t="str">
        <f>IF(G395="", "", IF(ISNUMBER(_xlfn.XMATCH(G395, 'Champions Sheet'!H:H)), "Found in Master", "MISSING in Alicia's"))</f>
        <v>MISSING in Alicia's</v>
      </c>
      <c r="I395" s="6" t="str">
        <f>IF(G395="", "", IF(ISNUMBER(_xlfn.XMATCH(G395, 'State Google Tags on Account'!E:E)), "Found in Alicia API Pull", "MISSING in Alicia's API Pull"))</f>
        <v>Found in Alicia API Pull</v>
      </c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idden="1">
      <c r="A396" s="8">
        <v>2.9589621E8</v>
      </c>
      <c r="B396" s="8">
        <v>4.88601532E8</v>
      </c>
      <c r="C396" s="6" t="s">
        <v>25</v>
      </c>
      <c r="D396" s="8">
        <v>3.46384838E8</v>
      </c>
      <c r="E396" s="6" t="s">
        <v>368</v>
      </c>
      <c r="F396" s="11" t="s">
        <v>365</v>
      </c>
      <c r="G396" s="6" t="s">
        <v>366</v>
      </c>
      <c r="H396" s="6" t="str">
        <f>IF(G396="", "", IF(ISNUMBER(_xlfn.XMATCH(G396, 'Champions Sheet'!H:H)), "Found in Master", "MISSING in Alicia's"))</f>
        <v>Found in Master</v>
      </c>
      <c r="I396" s="6" t="str">
        <f>IF(G396="", "", IF(ISNUMBER(_xlfn.XMATCH(G396, 'State Google Tags on Account'!E:E)), "Found in Alicia API Pull", "MISSING in Alicia's API Pull"))</f>
        <v>Found in Alicia API Pull</v>
      </c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idden="1">
      <c r="A397" s="8">
        <v>2.9589621E8</v>
      </c>
      <c r="B397" s="8">
        <v>4.83012671E8</v>
      </c>
      <c r="C397" s="6" t="s">
        <v>462</v>
      </c>
      <c r="D397" s="8">
        <v>3.46721069E8</v>
      </c>
      <c r="E397" s="6" t="s">
        <v>101</v>
      </c>
      <c r="F397" s="11" t="s">
        <v>97</v>
      </c>
      <c r="G397" s="6" t="s">
        <v>100</v>
      </c>
      <c r="H397" s="6" t="str">
        <f>IF(G397="", "", IF(ISNUMBER(_xlfn.XMATCH(G397, 'Champions Sheet'!H:H)), "Found in Master", "MISSING in Alicia's"))</f>
        <v>Found in Master</v>
      </c>
      <c r="I397" s="6" t="str">
        <f>IF(G397="", "", IF(ISNUMBER(_xlfn.XMATCH(G397, 'State Google Tags on Account'!E:E)), "Found in Alicia API Pull", "MISSING in Alicia's API Pull"))</f>
        <v>Found in Alicia API Pull</v>
      </c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idden="1">
      <c r="A398" s="8">
        <v>2.9589621E8</v>
      </c>
      <c r="B398" s="8">
        <v>4.50964503E8</v>
      </c>
      <c r="C398" s="6" t="s">
        <v>43</v>
      </c>
      <c r="D398" s="8">
        <v>3.46721069E8</v>
      </c>
      <c r="E398" s="6" t="s">
        <v>101</v>
      </c>
      <c r="F398" s="11" t="s">
        <v>97</v>
      </c>
      <c r="G398" s="6" t="s">
        <v>100</v>
      </c>
      <c r="H398" s="6" t="str">
        <f>IF(G398="", "", IF(ISNUMBER(_xlfn.XMATCH(G398, 'Champions Sheet'!H:H)), "Found in Master", "MISSING in Alicia's"))</f>
        <v>Found in Master</v>
      </c>
      <c r="I398" s="6" t="str">
        <f>IF(G398="", "", IF(ISNUMBER(_xlfn.XMATCH(G398, 'State Google Tags on Account'!E:E)), "Found in Alicia API Pull", "MISSING in Alicia's API Pull"))</f>
        <v>Found in Alicia API Pull</v>
      </c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idden="1">
      <c r="A399" s="8">
        <v>2.9589621E8</v>
      </c>
      <c r="B399" s="8">
        <v>4.83012671E8</v>
      </c>
      <c r="C399" s="6" t="s">
        <v>462</v>
      </c>
      <c r="D399" s="8">
        <v>3.24735019E8</v>
      </c>
      <c r="E399" s="6" t="s">
        <v>86</v>
      </c>
      <c r="F399" s="11" t="s">
        <v>966</v>
      </c>
      <c r="G399" s="6" t="s">
        <v>84</v>
      </c>
      <c r="H399" s="6" t="str">
        <f>IF(G399="", "", IF(ISNUMBER(_xlfn.XMATCH(G399, 'Champions Sheet'!H:H)), "Found in Master", "MISSING in Alicia's"))</f>
        <v>Found in Master</v>
      </c>
      <c r="I399" s="6" t="str">
        <f>IF(G399="", "", IF(ISNUMBER(_xlfn.XMATCH(G399, 'State Google Tags on Account'!E:E)), "Found in Alicia API Pull", "MISSING in Alicia's API Pull"))</f>
        <v>Found in Alicia API Pull</v>
      </c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idden="1">
      <c r="A400" s="8">
        <v>2.9589621E8</v>
      </c>
      <c r="B400" s="8">
        <v>4.50964503E8</v>
      </c>
      <c r="C400" s="6" t="s">
        <v>43</v>
      </c>
      <c r="D400" s="8">
        <v>3.24735019E8</v>
      </c>
      <c r="E400" s="6" t="s">
        <v>86</v>
      </c>
      <c r="F400" s="11" t="s">
        <v>966</v>
      </c>
      <c r="G400" s="6" t="s">
        <v>84</v>
      </c>
      <c r="H400" s="6" t="str">
        <f>IF(G400="", "", IF(ISNUMBER(_xlfn.XMATCH(G400, 'Champions Sheet'!H:H)), "Found in Master", "MISSING in Alicia's"))</f>
        <v>Found in Master</v>
      </c>
      <c r="I400" s="6" t="str">
        <f>IF(G400="", "", IF(ISNUMBER(_xlfn.XMATCH(G400, 'State Google Tags on Account'!E:E)), "Found in Alicia API Pull", "MISSING in Alicia's API Pull"))</f>
        <v>Found in Alicia API Pull</v>
      </c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idden="1">
      <c r="A401" s="8">
        <v>2.9589621E8</v>
      </c>
      <c r="B401" s="8">
        <v>4.82352716E8</v>
      </c>
      <c r="C401" s="6" t="s">
        <v>179</v>
      </c>
      <c r="D401" s="8">
        <v>3.58011256E8</v>
      </c>
      <c r="E401" s="6" t="s">
        <v>1135</v>
      </c>
      <c r="F401" s="11" t="s">
        <v>1133</v>
      </c>
      <c r="G401" s="6" t="s">
        <v>1134</v>
      </c>
      <c r="H401" s="6" t="str">
        <f>IF(G401="", "", IF(ISNUMBER(_xlfn.XMATCH(G401, 'Champions Sheet'!H:H)), "Found in Master", "MISSING in Alicia's"))</f>
        <v>MISSING in Alicia's</v>
      </c>
      <c r="I401" s="6" t="str">
        <f>IF(G401="", "", IF(ISNUMBER(_xlfn.XMATCH(G401, 'State Google Tags on Account'!E:E)), "Found in Alicia API Pull", "MISSING in Alicia's API Pull"))</f>
        <v>Found in Alicia API Pull</v>
      </c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idden="1">
      <c r="A402" s="8">
        <v>2.9589621E8</v>
      </c>
      <c r="B402" s="8">
        <v>4.50964503E8</v>
      </c>
      <c r="C402" s="6" t="s">
        <v>43</v>
      </c>
      <c r="D402" s="8">
        <v>3.58011256E8</v>
      </c>
      <c r="E402" s="6" t="s">
        <v>1135</v>
      </c>
      <c r="F402" s="11" t="s">
        <v>1133</v>
      </c>
      <c r="G402" s="6" t="s">
        <v>1134</v>
      </c>
      <c r="H402" s="6" t="str">
        <f>IF(G402="", "", IF(ISNUMBER(_xlfn.XMATCH(G402, 'Champions Sheet'!H:H)), "Found in Master", "MISSING in Alicia's"))</f>
        <v>MISSING in Alicia's</v>
      </c>
      <c r="I402" s="6" t="str">
        <f>IF(G402="", "", IF(ISNUMBER(_xlfn.XMATCH(G402, 'State Google Tags on Account'!E:E)), "Found in Alicia API Pull", "MISSING in Alicia's API Pull"))</f>
        <v>Found in Alicia API Pull</v>
      </c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idden="1">
      <c r="A403" s="8">
        <v>2.9589621E8</v>
      </c>
      <c r="B403" s="8">
        <v>4.50964503E8</v>
      </c>
      <c r="C403" s="6" t="s">
        <v>43</v>
      </c>
      <c r="D403" s="8">
        <v>4.19482352E8</v>
      </c>
      <c r="E403" s="6" t="s">
        <v>315</v>
      </c>
      <c r="F403" s="11" t="s">
        <v>313</v>
      </c>
      <c r="G403" s="6" t="s">
        <v>314</v>
      </c>
      <c r="H403" s="6" t="str">
        <f>IF(G403="", "", IF(ISNUMBER(_xlfn.XMATCH(G403, 'Champions Sheet'!H:H)), "Found in Master", "MISSING in Alicia's"))</f>
        <v>MISSING in Alicia's</v>
      </c>
      <c r="I403" s="6" t="str">
        <f>IF(G403="", "", IF(ISNUMBER(_xlfn.XMATCH(G403, 'State Google Tags on Account'!E:E)), "Found in Alicia API Pull", "MISSING in Alicia's API Pull"))</f>
        <v>Found in Alicia API Pull</v>
      </c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idden="1">
      <c r="A404" s="8">
        <v>2.9589621E8</v>
      </c>
      <c r="B404" s="8">
        <v>4.83039742E8</v>
      </c>
      <c r="C404" s="6" t="s">
        <v>408</v>
      </c>
      <c r="D404" s="8">
        <v>4.83367298E8</v>
      </c>
      <c r="E404" s="6" t="s">
        <v>761</v>
      </c>
      <c r="F404" s="11" t="s">
        <v>759</v>
      </c>
      <c r="G404" s="6" t="s">
        <v>760</v>
      </c>
      <c r="H404" s="6" t="str">
        <f>IF(G404="", "", IF(ISNUMBER(_xlfn.XMATCH(G404, 'Champions Sheet'!H:H)), "Found in Master", "MISSING in Alicia's"))</f>
        <v>MISSING in Alicia's</v>
      </c>
      <c r="I404" s="6" t="str">
        <f>IF(G404="", "", IF(ISNUMBER(_xlfn.XMATCH(G404, 'State Google Tags on Account'!E:E)), "Found in Alicia API Pull", "MISSING in Alicia's API Pull"))</f>
        <v>Found in Alicia API Pull</v>
      </c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idden="1">
      <c r="A405" s="8">
        <v>2.9589621E8</v>
      </c>
      <c r="B405" s="8">
        <v>4.50964503E8</v>
      </c>
      <c r="C405" s="6" t="s">
        <v>43</v>
      </c>
      <c r="D405" s="8">
        <v>4.83367298E8</v>
      </c>
      <c r="E405" s="6" t="s">
        <v>761</v>
      </c>
      <c r="F405" s="11" t="s">
        <v>759</v>
      </c>
      <c r="G405" s="6" t="s">
        <v>760</v>
      </c>
      <c r="H405" s="6" t="str">
        <f>IF(G405="", "", IF(ISNUMBER(_xlfn.XMATCH(G405, 'Champions Sheet'!H:H)), "Found in Master", "MISSING in Alicia's"))</f>
        <v>MISSING in Alicia's</v>
      </c>
      <c r="I405" s="6" t="str">
        <f>IF(G405="", "", IF(ISNUMBER(_xlfn.XMATCH(G405, 'State Google Tags on Account'!E:E)), "Found in Alicia API Pull", "MISSING in Alicia's API Pull"))</f>
        <v>Found in Alicia API Pull</v>
      </c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idden="1">
      <c r="A406" s="8">
        <v>2.9589621E8</v>
      </c>
      <c r="B406" s="8">
        <v>4.82352716E8</v>
      </c>
      <c r="C406" s="6" t="s">
        <v>179</v>
      </c>
      <c r="D406" s="8">
        <v>3.70844141E8</v>
      </c>
      <c r="E406" s="6" t="s">
        <v>869</v>
      </c>
      <c r="F406" s="11" t="s">
        <v>866</v>
      </c>
      <c r="G406" s="6" t="s">
        <v>868</v>
      </c>
      <c r="H406" s="6" t="str">
        <f>IF(G406="", "", IF(ISNUMBER(_xlfn.XMATCH(G406, 'Champions Sheet'!H:H)), "Found in Master", "MISSING in Alicia's"))</f>
        <v>Found in Master</v>
      </c>
      <c r="I406" s="6" t="str">
        <f>IF(G406="", "", IF(ISNUMBER(_xlfn.XMATCH(G406, 'State Google Tags on Account'!E:E)), "Found in Alicia API Pull", "MISSING in Alicia's API Pull"))</f>
        <v>Found in Alicia API Pull</v>
      </c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idden="1">
      <c r="A407" s="8">
        <v>2.9589621E8</v>
      </c>
      <c r="B407" s="8">
        <v>4.88601532E8</v>
      </c>
      <c r="C407" s="6" t="s">
        <v>25</v>
      </c>
      <c r="D407" s="8">
        <v>3.70844141E8</v>
      </c>
      <c r="E407" s="6" t="s">
        <v>869</v>
      </c>
      <c r="F407" s="11" t="s">
        <v>866</v>
      </c>
      <c r="G407" s="6" t="s">
        <v>868</v>
      </c>
      <c r="H407" s="6" t="str">
        <f>IF(G407="", "", IF(ISNUMBER(_xlfn.XMATCH(G407, 'Champions Sheet'!H:H)), "Found in Master", "MISSING in Alicia's"))</f>
        <v>Found in Master</v>
      </c>
      <c r="I407" s="6" t="str">
        <f>IF(G407="", "", IF(ISNUMBER(_xlfn.XMATCH(G407, 'State Google Tags on Account'!E:E)), "Found in Alicia API Pull", "MISSING in Alicia's API Pull"))</f>
        <v>Found in Alicia API Pull</v>
      </c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idden="1">
      <c r="A408" s="8">
        <v>2.9589621E8</v>
      </c>
      <c r="B408" s="8">
        <v>4.82352716E8</v>
      </c>
      <c r="C408" s="6" t="s">
        <v>179</v>
      </c>
      <c r="D408" s="8">
        <v>3.46276629E8</v>
      </c>
      <c r="E408" s="6" t="s">
        <v>931</v>
      </c>
      <c r="F408" s="11" t="s">
        <v>928</v>
      </c>
      <c r="G408" s="6" t="s">
        <v>930</v>
      </c>
      <c r="H408" s="6" t="str">
        <f>IF(G408="", "", IF(ISNUMBER(_xlfn.XMATCH(G408, 'Champions Sheet'!H:H)), "Found in Master", "MISSING in Alicia's"))</f>
        <v>Found in Master</v>
      </c>
      <c r="I408" s="6" t="str">
        <f>IF(G408="", "", IF(ISNUMBER(_xlfn.XMATCH(G408, 'State Google Tags on Account'!E:E)), "Found in Alicia API Pull", "MISSING in Alicia's API Pull"))</f>
        <v>Found in Alicia API Pull</v>
      </c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idden="1">
      <c r="A409" s="8">
        <v>2.9589621E8</v>
      </c>
      <c r="B409" s="8">
        <v>4.50964503E8</v>
      </c>
      <c r="C409" s="6" t="s">
        <v>43</v>
      </c>
      <c r="D409" s="8">
        <v>3.46276629E8</v>
      </c>
      <c r="E409" s="6" t="s">
        <v>931</v>
      </c>
      <c r="F409" s="11" t="s">
        <v>928</v>
      </c>
      <c r="G409" s="6" t="s">
        <v>930</v>
      </c>
      <c r="H409" s="6" t="str">
        <f>IF(G409="", "", IF(ISNUMBER(_xlfn.XMATCH(G409, 'Champions Sheet'!H:H)), "Found in Master", "MISSING in Alicia's"))</f>
        <v>Found in Master</v>
      </c>
      <c r="I409" s="6" t="str">
        <f>IF(G409="", "", IF(ISNUMBER(_xlfn.XMATCH(G409, 'State Google Tags on Account'!E:E)), "Found in Alicia API Pull", "MISSING in Alicia's API Pull"))</f>
        <v>Found in Alicia API Pull</v>
      </c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idden="1">
      <c r="A410" s="8">
        <v>2.9589621E8</v>
      </c>
      <c r="B410" s="8">
        <v>4.50964503E8</v>
      </c>
      <c r="C410" s="6" t="s">
        <v>43</v>
      </c>
      <c r="D410" s="8">
        <v>3.71186204E8</v>
      </c>
      <c r="E410" s="6" t="s">
        <v>1959</v>
      </c>
      <c r="F410" s="11" t="s">
        <v>1957</v>
      </c>
      <c r="G410" s="6" t="s">
        <v>1958</v>
      </c>
      <c r="H410" s="6" t="str">
        <f>IF(G410="", "", IF(ISNUMBER(_xlfn.XMATCH(G410, 'Champions Sheet'!H:H)), "Found in Master", "MISSING in Alicia's"))</f>
        <v>MISSING in Alicia's</v>
      </c>
      <c r="I410" s="6" t="str">
        <f>IF(G410="", "", IF(ISNUMBER(_xlfn.XMATCH(G410, 'State Google Tags on Account'!E:E)), "Found in Alicia API Pull", "MISSING in Alicia's API Pull"))</f>
        <v>Found in Alicia API Pull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idden="1">
      <c r="A411" s="8">
        <v>2.9589621E8</v>
      </c>
      <c r="B411" s="8">
        <v>4.82151148E8</v>
      </c>
      <c r="C411" s="6" t="s">
        <v>282</v>
      </c>
      <c r="D411" s="8">
        <v>3.27015056E8</v>
      </c>
      <c r="E411" s="6" t="s">
        <v>986</v>
      </c>
      <c r="F411" s="11" t="s">
        <v>990</v>
      </c>
      <c r="G411" s="6" t="s">
        <v>996</v>
      </c>
      <c r="H411" s="6" t="str">
        <f>IF(G411="", "", IF(ISNUMBER(_xlfn.XMATCH(G411, 'Champions Sheet'!H:H)), "Found in Master", "MISSING in Alicia's"))</f>
        <v>Found in Master</v>
      </c>
      <c r="I411" s="6" t="str">
        <f>IF(G411="", "", IF(ISNUMBER(_xlfn.XMATCH(G411, 'State Google Tags on Account'!E:E)), "Found in Alicia API Pull", "MISSING in Alicia's API Pull"))</f>
        <v>Found in Alicia API Pull</v>
      </c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idden="1">
      <c r="A412" s="8">
        <v>2.9589621E8</v>
      </c>
      <c r="B412" s="8">
        <v>4.50964503E8</v>
      </c>
      <c r="C412" s="6" t="s">
        <v>43</v>
      </c>
      <c r="D412" s="8">
        <v>3.27015056E8</v>
      </c>
      <c r="E412" s="6" t="s">
        <v>986</v>
      </c>
      <c r="F412" s="11" t="s">
        <v>990</v>
      </c>
      <c r="G412" s="6" t="s">
        <v>996</v>
      </c>
      <c r="H412" s="6" t="str">
        <f>IF(G412="", "", IF(ISNUMBER(_xlfn.XMATCH(G412, 'Champions Sheet'!H:H)), "Found in Master", "MISSING in Alicia's"))</f>
        <v>Found in Master</v>
      </c>
      <c r="I412" s="6" t="str">
        <f>IF(G412="", "", IF(ISNUMBER(_xlfn.XMATCH(G412, 'State Google Tags on Account'!E:E)), "Found in Alicia API Pull", "MISSING in Alicia's API Pull"))</f>
        <v>Found in Alicia API Pull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idden="1">
      <c r="A413" s="8">
        <v>2.9589621E8</v>
      </c>
      <c r="B413" s="8">
        <v>4.82151148E8</v>
      </c>
      <c r="C413" s="6" t="s">
        <v>282</v>
      </c>
      <c r="D413" s="8">
        <v>3.46789347E8</v>
      </c>
      <c r="E413" s="6" t="s">
        <v>1337</v>
      </c>
      <c r="F413" s="11" t="s">
        <v>1335</v>
      </c>
      <c r="G413" s="6" t="s">
        <v>1336</v>
      </c>
      <c r="H413" s="6" t="str">
        <f>IF(G413="", "", IF(ISNUMBER(_xlfn.XMATCH(G413, 'Champions Sheet'!H:H)), "Found in Master", "MISSING in Alicia's"))</f>
        <v>MISSING in Alicia's</v>
      </c>
      <c r="I413" s="6" t="str">
        <f>IF(G413="", "", IF(ISNUMBER(_xlfn.XMATCH(G413, 'State Google Tags on Account'!E:E)), "Found in Alicia API Pull", "MISSING in Alicia's API Pull"))</f>
        <v>Found in Alicia API Pull</v>
      </c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idden="1">
      <c r="A414" s="8">
        <v>2.9589621E8</v>
      </c>
      <c r="B414" s="8">
        <v>4.50964503E8</v>
      </c>
      <c r="C414" s="6" t="s">
        <v>43</v>
      </c>
      <c r="D414" s="8">
        <v>3.46789347E8</v>
      </c>
      <c r="E414" s="6" t="s">
        <v>1337</v>
      </c>
      <c r="F414" s="11" t="s">
        <v>1335</v>
      </c>
      <c r="G414" s="6" t="s">
        <v>1336</v>
      </c>
      <c r="H414" s="6" t="str">
        <f>IF(G414="", "", IF(ISNUMBER(_xlfn.XMATCH(G414, 'Champions Sheet'!H:H)), "Found in Master", "MISSING in Alicia's"))</f>
        <v>MISSING in Alicia's</v>
      </c>
      <c r="I414" s="6" t="str">
        <f>IF(G414="", "", IF(ISNUMBER(_xlfn.XMATCH(G414, 'State Google Tags on Account'!E:E)), "Found in Alicia API Pull", "MISSING in Alicia's API Pull"))</f>
        <v>Found in Alicia API Pull</v>
      </c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idden="1">
      <c r="A415" s="8">
        <v>2.9589621E8</v>
      </c>
      <c r="B415" s="8">
        <v>4.50964503E8</v>
      </c>
      <c r="C415" s="6" t="s">
        <v>43</v>
      </c>
      <c r="D415" s="8">
        <v>4.72668132E8</v>
      </c>
      <c r="E415" s="6" t="s">
        <v>1910</v>
      </c>
      <c r="F415" s="11" t="s">
        <v>1908</v>
      </c>
      <c r="G415" s="6" t="s">
        <v>1909</v>
      </c>
      <c r="H415" s="6" t="str">
        <f>IF(G415="", "", IF(ISNUMBER(_xlfn.XMATCH(G415, 'Champions Sheet'!H:H)), "Found in Master", "MISSING in Alicia's"))</f>
        <v>MISSING in Alicia's</v>
      </c>
      <c r="I415" s="6" t="str">
        <f>IF(G415="", "", IF(ISNUMBER(_xlfn.XMATCH(G415, 'State Google Tags on Account'!E:E)), "Found in Alicia API Pull", "MISSING in Alicia's API Pull"))</f>
        <v>Found in Alicia API Pull</v>
      </c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idden="1">
      <c r="A416" s="8">
        <v>2.9589621E8</v>
      </c>
      <c r="B416" s="8">
        <v>4.82151148E8</v>
      </c>
      <c r="C416" s="6" t="s">
        <v>282</v>
      </c>
      <c r="D416" s="8">
        <v>3.61192997E8</v>
      </c>
      <c r="E416" s="6" t="s">
        <v>1107</v>
      </c>
      <c r="F416" s="11" t="s">
        <v>1099</v>
      </c>
      <c r="G416" s="6" t="s">
        <v>1262</v>
      </c>
      <c r="H416" s="6" t="str">
        <f>IF(G416="", "", IF(ISNUMBER(_xlfn.XMATCH(G416, 'Champions Sheet'!H:H)), "Found in Master", "MISSING in Alicia's"))</f>
        <v>MISSING in Alicia's</v>
      </c>
      <c r="I416" s="6" t="str">
        <f>IF(G416="", "", IF(ISNUMBER(_xlfn.XMATCH(G416, 'State Google Tags on Account'!E:E)), "Found in Alicia API Pull", "MISSING in Alicia's API Pull"))</f>
        <v>Found in Alicia API Pull</v>
      </c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idden="1">
      <c r="A417" s="8">
        <v>2.9589621E8</v>
      </c>
      <c r="B417" s="8">
        <v>4.50964503E8</v>
      </c>
      <c r="C417" s="6" t="s">
        <v>43</v>
      </c>
      <c r="D417" s="8">
        <v>3.61192997E8</v>
      </c>
      <c r="E417" s="6" t="s">
        <v>1107</v>
      </c>
      <c r="F417" s="11" t="s">
        <v>1099</v>
      </c>
      <c r="G417" s="6" t="s">
        <v>1262</v>
      </c>
      <c r="H417" s="6" t="str">
        <f>IF(G417="", "", IF(ISNUMBER(_xlfn.XMATCH(G417, 'Champions Sheet'!H:H)), "Found in Master", "MISSING in Alicia's"))</f>
        <v>MISSING in Alicia's</v>
      </c>
      <c r="I417" s="6" t="str">
        <f>IF(G417="", "", IF(ISNUMBER(_xlfn.XMATCH(G417, 'State Google Tags on Account'!E:E)), "Found in Alicia API Pull", "MISSING in Alicia's API Pull"))</f>
        <v>Found in Alicia API Pull</v>
      </c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idden="1">
      <c r="A418" s="8">
        <v>2.9589621E8</v>
      </c>
      <c r="B418" s="8">
        <v>4.82151148E8</v>
      </c>
      <c r="C418" s="6" t="s">
        <v>282</v>
      </c>
      <c r="D418" s="8">
        <v>3.62186129E8</v>
      </c>
      <c r="E418" s="6" t="s">
        <v>1344</v>
      </c>
      <c r="F418" s="11" t="s">
        <v>1341</v>
      </c>
      <c r="G418" s="6" t="s">
        <v>1342</v>
      </c>
      <c r="H418" s="6" t="str">
        <f>IF(G418="", "", IF(ISNUMBER(_xlfn.XMATCH(G418, 'Champions Sheet'!H:H)), "Found in Master", "MISSING in Alicia's"))</f>
        <v>MISSING in Alicia's</v>
      </c>
      <c r="I418" s="6" t="str">
        <f>IF(G418="", "", IF(ISNUMBER(_xlfn.XMATCH(G418, 'State Google Tags on Account'!E:E)), "Found in Alicia API Pull", "MISSING in Alicia's API Pull"))</f>
        <v>Found in Alicia API Pull</v>
      </c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idden="1">
      <c r="A419" s="8">
        <v>2.9589621E8</v>
      </c>
      <c r="B419" s="8">
        <v>4.50964503E8</v>
      </c>
      <c r="C419" s="6" t="s">
        <v>43</v>
      </c>
      <c r="D419" s="8">
        <v>3.62186129E8</v>
      </c>
      <c r="E419" s="6" t="s">
        <v>1344</v>
      </c>
      <c r="F419" s="11" t="s">
        <v>1341</v>
      </c>
      <c r="G419" s="6" t="s">
        <v>1342</v>
      </c>
      <c r="H419" s="6" t="str">
        <f>IF(G419="", "", IF(ISNUMBER(_xlfn.XMATCH(G419, 'Champions Sheet'!H:H)), "Found in Master", "MISSING in Alicia's"))</f>
        <v>MISSING in Alicia's</v>
      </c>
      <c r="I419" s="6" t="str">
        <f>IF(G419="", "", IF(ISNUMBER(_xlfn.XMATCH(G419, 'State Google Tags on Account'!E:E)), "Found in Alicia API Pull", "MISSING in Alicia's API Pull"))</f>
        <v>Found in Alicia API Pull</v>
      </c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idden="1">
      <c r="A420" s="8">
        <v>2.9589621E8</v>
      </c>
      <c r="B420" s="8">
        <v>4.87084052E8</v>
      </c>
      <c r="C420" s="6" t="s">
        <v>61</v>
      </c>
      <c r="D420" s="8">
        <v>4.88553036E8</v>
      </c>
      <c r="E420" s="6" t="s">
        <v>1490</v>
      </c>
      <c r="F420" s="11" t="s">
        <v>1488</v>
      </c>
      <c r="G420" s="6" t="s">
        <v>1489</v>
      </c>
      <c r="H420" s="6" t="str">
        <f>IF(G420="", "", IF(ISNUMBER(_xlfn.XMATCH(G420, 'Champions Sheet'!H:H)), "Found in Master", "MISSING in Alicia's"))</f>
        <v>MISSING in Alicia's</v>
      </c>
      <c r="I420" s="6" t="str">
        <f>IF(G420="", "", IF(ISNUMBER(_xlfn.XMATCH(G420, 'State Google Tags on Account'!E:E)), "Found in Alicia API Pull", "MISSING in Alicia's API Pull"))</f>
        <v>Found in Alicia API Pull</v>
      </c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idden="1">
      <c r="A421" s="8">
        <v>2.9589621E8</v>
      </c>
      <c r="B421" s="8">
        <v>4.88601532E8</v>
      </c>
      <c r="C421" s="6" t="s">
        <v>25</v>
      </c>
      <c r="D421" s="8">
        <v>4.88553036E8</v>
      </c>
      <c r="E421" s="6" t="s">
        <v>1490</v>
      </c>
      <c r="F421" s="11" t="s">
        <v>1488</v>
      </c>
      <c r="G421" s="6" t="s">
        <v>1489</v>
      </c>
      <c r="H421" s="6" t="str">
        <f>IF(G421="", "", IF(ISNUMBER(_xlfn.XMATCH(G421, 'Champions Sheet'!H:H)), "Found in Master", "MISSING in Alicia's"))</f>
        <v>MISSING in Alicia's</v>
      </c>
      <c r="I421" s="6" t="str">
        <f>IF(G421="", "", IF(ISNUMBER(_xlfn.XMATCH(G421, 'State Google Tags on Account'!E:E)), "Found in Alicia API Pull", "MISSING in Alicia's API Pull"))</f>
        <v>Found in Alicia API Pull</v>
      </c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idden="1">
      <c r="A422" s="8">
        <v>2.9589621E8</v>
      </c>
      <c r="B422" s="8">
        <v>4.88601532E8</v>
      </c>
      <c r="C422" s="6" t="s">
        <v>25</v>
      </c>
      <c r="D422" s="8">
        <v>4.88016149E8</v>
      </c>
      <c r="E422" s="6" t="s">
        <v>389</v>
      </c>
      <c r="F422" s="11" t="s">
        <v>386</v>
      </c>
      <c r="G422" s="6" t="s">
        <v>388</v>
      </c>
      <c r="H422" s="6" t="str">
        <f>IF(G422="", "", IF(ISNUMBER(_xlfn.XMATCH(G422, 'Champions Sheet'!H:H)), "Found in Master", "MISSING in Alicia's"))</f>
        <v>MISSING in Alicia's</v>
      </c>
      <c r="I422" s="6" t="str">
        <f>IF(G422="", "", IF(ISNUMBER(_xlfn.XMATCH(G422, 'State Google Tags on Account'!E:E)), "Found in Alicia API Pull", "MISSING in Alicia's API Pull"))</f>
        <v>Found in Alicia API Pull</v>
      </c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idden="1">
      <c r="A423" s="8">
        <v>2.9589621E8</v>
      </c>
      <c r="B423" s="8">
        <v>4.87084052E8</v>
      </c>
      <c r="C423" s="6" t="s">
        <v>61</v>
      </c>
      <c r="D423" s="8">
        <v>3.24315807E8</v>
      </c>
      <c r="E423" s="6" t="s">
        <v>951</v>
      </c>
      <c r="F423" s="11" t="s">
        <v>953</v>
      </c>
      <c r="G423" s="6" t="s">
        <v>958</v>
      </c>
      <c r="H423" s="6" t="str">
        <f>IF(G423="", "", IF(ISNUMBER(_xlfn.XMATCH(G423, 'Champions Sheet'!H:H)), "Found in Master", "MISSING in Alicia's"))</f>
        <v>MISSING in Alicia's</v>
      </c>
      <c r="I423" s="6" t="str">
        <f>IF(G423="", "", IF(ISNUMBER(_xlfn.XMATCH(G423, 'State Google Tags on Account'!E:E)), "Found in Alicia API Pull", "MISSING in Alicia's API Pull"))</f>
        <v>Found in Alicia API Pull</v>
      </c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idden="1">
      <c r="A424" s="8">
        <v>2.9589621E8</v>
      </c>
      <c r="B424" s="8">
        <v>4.88601532E8</v>
      </c>
      <c r="C424" s="6" t="s">
        <v>25</v>
      </c>
      <c r="D424" s="8">
        <v>3.24315807E8</v>
      </c>
      <c r="E424" s="6" t="s">
        <v>951</v>
      </c>
      <c r="F424" s="11" t="s">
        <v>953</v>
      </c>
      <c r="G424" s="6" t="s">
        <v>958</v>
      </c>
      <c r="H424" s="6" t="str">
        <f>IF(G424="", "", IF(ISNUMBER(_xlfn.XMATCH(G424, 'Champions Sheet'!H:H)), "Found in Master", "MISSING in Alicia's"))</f>
        <v>MISSING in Alicia's</v>
      </c>
      <c r="I424" s="6" t="str">
        <f>IF(G424="", "", IF(ISNUMBER(_xlfn.XMATCH(G424, 'State Google Tags on Account'!E:E)), "Found in Alicia API Pull", "MISSING in Alicia's API Pull"))</f>
        <v>Found in Alicia API Pull</v>
      </c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8">
        <v>2.9589621E8</v>
      </c>
      <c r="B425" s="8">
        <v>4.82352716E8</v>
      </c>
      <c r="C425" s="6" t="s">
        <v>179</v>
      </c>
      <c r="D425" s="8">
        <v>3.46707529E8</v>
      </c>
      <c r="E425" s="6" t="s">
        <v>1071</v>
      </c>
      <c r="F425" s="6" t="s">
        <v>2174</v>
      </c>
      <c r="G425" s="6" t="s">
        <v>2175</v>
      </c>
      <c r="H425" s="6" t="str">
        <f>IF(G425="", "", IF(ISNUMBER(_xlfn.XMATCH(G425, 'Champions Sheet'!H:H)), "Found in Master", "MISSING in Alicia's"))</f>
        <v>MISSING in Alicia's</v>
      </c>
      <c r="I425" s="5" t="s">
        <v>2176</v>
      </c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8">
        <v>2.9589621E8</v>
      </c>
      <c r="B426" s="8">
        <v>4.88601532E8</v>
      </c>
      <c r="C426" s="6" t="s">
        <v>25</v>
      </c>
      <c r="D426" s="8">
        <v>3.46707529E8</v>
      </c>
      <c r="E426" s="6" t="s">
        <v>1071</v>
      </c>
      <c r="F426" s="6" t="s">
        <v>2174</v>
      </c>
      <c r="G426" s="6" t="s">
        <v>2175</v>
      </c>
      <c r="H426" s="6" t="str">
        <f>IF(G426="", "", IF(ISNUMBER(_xlfn.XMATCH(G426, 'Champions Sheet'!H:H)), "Found in Master", "MISSING in Alicia's"))</f>
        <v>MISSING in Alicia's</v>
      </c>
      <c r="I426" s="5" t="s">
        <v>2176</v>
      </c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idden="1">
      <c r="A427" s="8">
        <v>2.9589621E8</v>
      </c>
      <c r="B427" s="8">
        <v>4.50964503E8</v>
      </c>
      <c r="C427" s="6" t="s">
        <v>43</v>
      </c>
      <c r="D427" s="8">
        <v>3.60639014E8</v>
      </c>
      <c r="E427" s="6" t="s">
        <v>1942</v>
      </c>
      <c r="F427" s="6" t="s">
        <v>2177</v>
      </c>
      <c r="G427" s="6" t="s">
        <v>2178</v>
      </c>
      <c r="H427" s="6" t="str">
        <f>IF(G427="", "", IF(ISNUMBER(_xlfn.XMATCH(G427, 'Champions Sheet'!H:H)), "Found in Master", "MISSING in Alicia's"))</f>
        <v>MISSING in Alicia's</v>
      </c>
      <c r="I427" s="6" t="str">
        <f>IF(G427="", "", IF(ISNUMBER(_xlfn.XMATCH(G427, 'State Google Tags on Account'!E:E)), "Found in Alicia API Pull", "MISSING in Alicia's API Pull"))</f>
        <v>MISSING in Alicia's API Pull</v>
      </c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Z$427">
    <filterColumn colId="8">
      <filters>
        <filter val="Manually only found G-EN4LC4Q69P"/>
        <filter val="Manually found only G-0GSTKZMBKS"/>
        <filter val="Manually found only G-6NZV3JCM8T"/>
        <filter val="Manually found only G-T3WSYR5DTB"/>
        <filter val="Manuually found (two different agencies)"/>
      </filters>
    </filterColumn>
    <sortState ref="A1:Z427">
      <sortCondition ref="F1:F427"/>
      <sortCondition ref="C1:C427"/>
      <sortCondition ref="E1:E427"/>
      <sortCondition ref="D1:D427"/>
    </sortState>
  </autoFilter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  <hyperlink r:id="rId31" ref="F34"/>
    <hyperlink r:id="rId32" ref="F35"/>
    <hyperlink r:id="rId33" ref="F36"/>
    <hyperlink r:id="rId34" ref="F37"/>
    <hyperlink r:id="rId35" ref="F38"/>
    <hyperlink r:id="rId36" ref="F39"/>
    <hyperlink r:id="rId37" ref="F40"/>
    <hyperlink r:id="rId38" ref="F41"/>
    <hyperlink r:id="rId39" ref="F42"/>
    <hyperlink r:id="rId40" ref="F43"/>
    <hyperlink r:id="rId41" ref="F44"/>
    <hyperlink r:id="rId42" ref="F45"/>
    <hyperlink r:id="rId43" ref="F46"/>
    <hyperlink r:id="rId44" ref="F47"/>
    <hyperlink r:id="rId45" ref="F48"/>
    <hyperlink r:id="rId46" ref="F49"/>
    <hyperlink r:id="rId47" ref="F50"/>
    <hyperlink r:id="rId48" ref="F51"/>
    <hyperlink r:id="rId49" ref="F52"/>
    <hyperlink r:id="rId50" ref="F53"/>
    <hyperlink r:id="rId51" ref="F54"/>
    <hyperlink r:id="rId52" ref="F55"/>
    <hyperlink r:id="rId53" ref="F56"/>
    <hyperlink r:id="rId54" ref="F57"/>
    <hyperlink r:id="rId55" ref="F58"/>
    <hyperlink r:id="rId56" ref="F59"/>
    <hyperlink r:id="rId57" ref="F60"/>
    <hyperlink r:id="rId58" ref="F61"/>
    <hyperlink r:id="rId59" ref="F62"/>
    <hyperlink r:id="rId60" ref="F63"/>
    <hyperlink r:id="rId61" ref="F64"/>
    <hyperlink r:id="rId62" ref="F65"/>
    <hyperlink r:id="rId63" ref="F66"/>
    <hyperlink r:id="rId64" ref="F67"/>
    <hyperlink r:id="rId65" ref="F68"/>
    <hyperlink r:id="rId66" ref="F69"/>
    <hyperlink r:id="rId67" ref="F70"/>
    <hyperlink r:id="rId68" ref="F71"/>
    <hyperlink r:id="rId69" ref="F72"/>
    <hyperlink r:id="rId70" ref="F73"/>
    <hyperlink r:id="rId71" ref="F74"/>
    <hyperlink r:id="rId72" ref="F75"/>
    <hyperlink r:id="rId73" ref="F76"/>
    <hyperlink r:id="rId74" ref="E77"/>
    <hyperlink r:id="rId75" ref="F77"/>
    <hyperlink r:id="rId76" ref="F78"/>
    <hyperlink r:id="rId77" ref="F79"/>
    <hyperlink r:id="rId78" ref="F80"/>
    <hyperlink r:id="rId79" ref="F81"/>
    <hyperlink r:id="rId80" ref="F82"/>
    <hyperlink r:id="rId81" ref="F83"/>
    <hyperlink r:id="rId82" ref="F84"/>
    <hyperlink r:id="rId83" ref="F85"/>
    <hyperlink r:id="rId84" ref="F86"/>
    <hyperlink r:id="rId85" ref="F87"/>
    <hyperlink r:id="rId86" ref="F88"/>
    <hyperlink r:id="rId87" ref="F89"/>
    <hyperlink r:id="rId88" ref="F90"/>
    <hyperlink r:id="rId89" ref="F91"/>
    <hyperlink r:id="rId90" ref="F92"/>
    <hyperlink r:id="rId91" ref="F93"/>
    <hyperlink r:id="rId92" ref="F94"/>
    <hyperlink r:id="rId93" ref="F95"/>
    <hyperlink r:id="rId94" ref="F96"/>
    <hyperlink r:id="rId95" ref="F97"/>
    <hyperlink r:id="rId96" ref="F98"/>
    <hyperlink r:id="rId97" ref="F99"/>
    <hyperlink r:id="rId98" ref="F100"/>
    <hyperlink r:id="rId99" ref="F101"/>
    <hyperlink r:id="rId100" ref="F102"/>
    <hyperlink r:id="rId101" ref="F103"/>
    <hyperlink r:id="rId102" ref="F104"/>
    <hyperlink r:id="rId103" ref="F105"/>
    <hyperlink r:id="rId104" ref="F106"/>
    <hyperlink r:id="rId105" ref="F107"/>
    <hyperlink r:id="rId106" ref="F108"/>
    <hyperlink r:id="rId107" ref="F109"/>
    <hyperlink r:id="rId108" ref="F110"/>
    <hyperlink r:id="rId109" ref="F111"/>
    <hyperlink r:id="rId110" ref="F112"/>
    <hyperlink r:id="rId111" ref="F113"/>
    <hyperlink r:id="rId112" ref="F114"/>
    <hyperlink r:id="rId113" ref="F115"/>
    <hyperlink r:id="rId114" ref="F116"/>
    <hyperlink r:id="rId115" ref="F117"/>
    <hyperlink r:id="rId116" ref="F118"/>
    <hyperlink r:id="rId117" ref="F119"/>
    <hyperlink r:id="rId118" ref="F120"/>
    <hyperlink r:id="rId119" ref="F121"/>
    <hyperlink r:id="rId120" ref="F122"/>
    <hyperlink r:id="rId121" ref="F123"/>
    <hyperlink r:id="rId122" ref="F124"/>
    <hyperlink r:id="rId123" ref="F125"/>
    <hyperlink r:id="rId124" ref="F126"/>
    <hyperlink r:id="rId125" ref="F127"/>
    <hyperlink r:id="rId126" ref="F128"/>
    <hyperlink r:id="rId127" ref="F129"/>
    <hyperlink r:id="rId128" ref="F130"/>
    <hyperlink r:id="rId129" ref="F131"/>
    <hyperlink r:id="rId130" ref="F132"/>
    <hyperlink r:id="rId131" ref="F133"/>
    <hyperlink r:id="rId132" ref="F134"/>
    <hyperlink r:id="rId133" ref="F135"/>
    <hyperlink r:id="rId134" ref="F136"/>
    <hyperlink r:id="rId135" ref="F137"/>
    <hyperlink r:id="rId136" ref="F138"/>
    <hyperlink r:id="rId137" ref="F139"/>
    <hyperlink r:id="rId138" ref="F140"/>
    <hyperlink r:id="rId139" ref="F141"/>
    <hyperlink r:id="rId140" ref="F142"/>
    <hyperlink r:id="rId141" ref="F143"/>
    <hyperlink r:id="rId142" ref="F144"/>
    <hyperlink r:id="rId143" ref="F145"/>
    <hyperlink r:id="rId144" ref="F146"/>
    <hyperlink r:id="rId145" ref="F147"/>
    <hyperlink r:id="rId146" ref="F148"/>
    <hyperlink r:id="rId147" ref="F149"/>
    <hyperlink r:id="rId148" ref="F150"/>
    <hyperlink r:id="rId149" ref="F151"/>
    <hyperlink r:id="rId150" ref="F152"/>
    <hyperlink r:id="rId151" ref="F153"/>
    <hyperlink r:id="rId152" ref="F154"/>
    <hyperlink r:id="rId153" ref="F155"/>
    <hyperlink r:id="rId154" ref="F156"/>
    <hyperlink r:id="rId155" ref="F157"/>
    <hyperlink r:id="rId156" ref="F158"/>
    <hyperlink r:id="rId157" ref="F159"/>
    <hyperlink r:id="rId158" ref="F160"/>
    <hyperlink r:id="rId159" ref="F161"/>
    <hyperlink r:id="rId160" ref="F162"/>
    <hyperlink r:id="rId161" ref="F163"/>
    <hyperlink r:id="rId162" ref="F164"/>
    <hyperlink r:id="rId163" ref="F165"/>
    <hyperlink r:id="rId164" ref="F166"/>
    <hyperlink r:id="rId165" ref="F167"/>
    <hyperlink r:id="rId166" ref="F168"/>
    <hyperlink r:id="rId167" ref="F169"/>
    <hyperlink r:id="rId168" ref="F170"/>
    <hyperlink r:id="rId169" ref="F171"/>
    <hyperlink r:id="rId170" ref="F172"/>
    <hyperlink r:id="rId171" ref="F173"/>
    <hyperlink r:id="rId172" ref="F174"/>
    <hyperlink r:id="rId173" ref="F175"/>
    <hyperlink r:id="rId174" ref="F176"/>
    <hyperlink r:id="rId175" ref="F177"/>
    <hyperlink r:id="rId176" ref="F178"/>
    <hyperlink r:id="rId177" ref="F179"/>
    <hyperlink r:id="rId178" ref="F180"/>
    <hyperlink r:id="rId179" ref="F181"/>
    <hyperlink r:id="rId180" ref="F182"/>
    <hyperlink r:id="rId181" ref="F183"/>
    <hyperlink r:id="rId182" ref="F184"/>
    <hyperlink r:id="rId183" ref="F185"/>
    <hyperlink r:id="rId184" ref="F186"/>
    <hyperlink r:id="rId185" ref="F187"/>
    <hyperlink r:id="rId186" ref="F188"/>
    <hyperlink r:id="rId187" ref="F189"/>
    <hyperlink r:id="rId188" ref="F190"/>
    <hyperlink r:id="rId189" ref="F191"/>
    <hyperlink r:id="rId190" ref="F192"/>
    <hyperlink r:id="rId191" ref="F193"/>
    <hyperlink r:id="rId192" ref="F194"/>
    <hyperlink r:id="rId193" ref="F195"/>
    <hyperlink r:id="rId194" ref="F196"/>
    <hyperlink r:id="rId195" ref="F197"/>
    <hyperlink r:id="rId196" ref="F198"/>
    <hyperlink r:id="rId197" ref="F199"/>
    <hyperlink r:id="rId198" ref="F200"/>
    <hyperlink r:id="rId199" ref="F201"/>
    <hyperlink r:id="rId200" ref="F202"/>
    <hyperlink r:id="rId201" ref="F205"/>
    <hyperlink r:id="rId202" ref="F206"/>
    <hyperlink r:id="rId203" ref="F207"/>
    <hyperlink r:id="rId204" ref="F208"/>
    <hyperlink r:id="rId205" ref="F209"/>
    <hyperlink r:id="rId206" ref="F210"/>
    <hyperlink r:id="rId207" ref="F211"/>
    <hyperlink r:id="rId208" ref="F212"/>
    <hyperlink r:id="rId209" ref="F213"/>
    <hyperlink r:id="rId210" ref="F214"/>
    <hyperlink r:id="rId211" ref="F215"/>
    <hyperlink r:id="rId212" ref="F216"/>
    <hyperlink r:id="rId213" ref="F217"/>
    <hyperlink r:id="rId214" ref="F218"/>
    <hyperlink r:id="rId215" ref="F219"/>
    <hyperlink r:id="rId216" ref="F220"/>
    <hyperlink r:id="rId217" ref="F221"/>
    <hyperlink r:id="rId218" ref="F222"/>
    <hyperlink r:id="rId219" ref="F223"/>
    <hyperlink r:id="rId220" ref="F224"/>
    <hyperlink r:id="rId221" ref="F225"/>
    <hyperlink r:id="rId222" ref="F226"/>
    <hyperlink r:id="rId223" ref="F227"/>
    <hyperlink r:id="rId224" ref="F228"/>
    <hyperlink r:id="rId225" ref="F229"/>
    <hyperlink r:id="rId226" ref="F230"/>
    <hyperlink r:id="rId227" ref="F231"/>
    <hyperlink r:id="rId228" ref="F232"/>
    <hyperlink r:id="rId229" ref="F233"/>
    <hyperlink r:id="rId230" ref="F234"/>
    <hyperlink r:id="rId231" ref="F235"/>
    <hyperlink r:id="rId232" ref="F236"/>
    <hyperlink r:id="rId233" ref="F237"/>
    <hyperlink r:id="rId234" ref="F238"/>
    <hyperlink r:id="rId235" ref="F239"/>
    <hyperlink r:id="rId236" ref="F240"/>
    <hyperlink r:id="rId237" ref="F241"/>
    <hyperlink r:id="rId238" ref="F242"/>
    <hyperlink r:id="rId239" ref="F243"/>
    <hyperlink r:id="rId240" ref="F244"/>
    <hyperlink r:id="rId241" ref="F245"/>
    <hyperlink r:id="rId242" ref="F246"/>
    <hyperlink r:id="rId243" ref="F247"/>
    <hyperlink r:id="rId244" ref="F248"/>
    <hyperlink r:id="rId245" ref="F249"/>
    <hyperlink r:id="rId246" ref="F250"/>
    <hyperlink r:id="rId247" ref="F251"/>
    <hyperlink r:id="rId248" ref="F252"/>
    <hyperlink r:id="rId249" ref="F253"/>
    <hyperlink r:id="rId250" ref="F254"/>
    <hyperlink r:id="rId251" ref="F255"/>
    <hyperlink r:id="rId252" ref="F256"/>
    <hyperlink r:id="rId253" ref="F257"/>
    <hyperlink r:id="rId254" ref="F258"/>
    <hyperlink r:id="rId255" ref="F259"/>
    <hyperlink r:id="rId256" ref="F260"/>
    <hyperlink r:id="rId257" ref="F261"/>
    <hyperlink r:id="rId258" ref="F262"/>
    <hyperlink r:id="rId259" ref="F263"/>
    <hyperlink r:id="rId260" ref="F264"/>
    <hyperlink r:id="rId261" ref="F265"/>
    <hyperlink r:id="rId262" ref="F266"/>
    <hyperlink r:id="rId263" ref="F267"/>
    <hyperlink r:id="rId264" ref="F268"/>
    <hyperlink r:id="rId265" ref="F269"/>
    <hyperlink r:id="rId266" ref="F270"/>
    <hyperlink r:id="rId267" ref="F271"/>
    <hyperlink r:id="rId268" ref="F272"/>
    <hyperlink r:id="rId269" ref="F273"/>
    <hyperlink r:id="rId270" ref="F274"/>
    <hyperlink r:id="rId271" ref="F275"/>
    <hyperlink r:id="rId272" ref="F276"/>
    <hyperlink r:id="rId273" ref="F277"/>
    <hyperlink r:id="rId274" ref="F278"/>
    <hyperlink r:id="rId275" ref="F279"/>
    <hyperlink r:id="rId276" ref="F280"/>
    <hyperlink r:id="rId277" ref="F281"/>
    <hyperlink r:id="rId278" ref="F282"/>
    <hyperlink r:id="rId279" ref="F283"/>
    <hyperlink r:id="rId280" ref="F284"/>
    <hyperlink r:id="rId281" ref="F285"/>
    <hyperlink r:id="rId282" ref="F286"/>
    <hyperlink r:id="rId283" ref="F287"/>
    <hyperlink r:id="rId284" ref="F288"/>
    <hyperlink r:id="rId285" ref="F289"/>
    <hyperlink r:id="rId286" ref="F290"/>
    <hyperlink r:id="rId287" ref="F291"/>
    <hyperlink r:id="rId288" ref="F292"/>
    <hyperlink r:id="rId289" ref="F293"/>
    <hyperlink r:id="rId290" ref="F294"/>
    <hyperlink r:id="rId291" ref="F295"/>
    <hyperlink r:id="rId292" ref="F296"/>
    <hyperlink r:id="rId293" ref="F297"/>
    <hyperlink r:id="rId294" ref="F298"/>
    <hyperlink r:id="rId295" ref="F299"/>
    <hyperlink r:id="rId296" ref="F300"/>
    <hyperlink r:id="rId297" ref="F301"/>
    <hyperlink r:id="rId298" ref="F302"/>
    <hyperlink r:id="rId299" ref="F303"/>
    <hyperlink r:id="rId300" ref="F304"/>
    <hyperlink r:id="rId301" ref="F305"/>
    <hyperlink r:id="rId302" ref="F306"/>
    <hyperlink r:id="rId303" ref="F307"/>
    <hyperlink r:id="rId304" ref="F308"/>
    <hyperlink r:id="rId305" ref="F309"/>
    <hyperlink r:id="rId306" ref="F310"/>
    <hyperlink r:id="rId307" ref="F311"/>
    <hyperlink r:id="rId308" ref="F312"/>
    <hyperlink r:id="rId309" ref="F313"/>
    <hyperlink r:id="rId310" ref="F314"/>
    <hyperlink r:id="rId311" ref="F315"/>
    <hyperlink r:id="rId312" ref="F316"/>
    <hyperlink r:id="rId313" ref="F317"/>
    <hyperlink r:id="rId314" ref="F318"/>
    <hyperlink r:id="rId315" ref="F319"/>
    <hyperlink r:id="rId316" ref="F320"/>
    <hyperlink r:id="rId317" ref="F321"/>
    <hyperlink r:id="rId318" ref="F322"/>
    <hyperlink r:id="rId319" ref="F323"/>
    <hyperlink r:id="rId320" ref="F324"/>
    <hyperlink r:id="rId321" ref="F325"/>
    <hyperlink r:id="rId322" ref="F326"/>
    <hyperlink r:id="rId323" ref="F327"/>
    <hyperlink r:id="rId324" ref="F328"/>
    <hyperlink r:id="rId325" ref="F329"/>
    <hyperlink r:id="rId326" ref="F330"/>
    <hyperlink r:id="rId327" ref="F331"/>
    <hyperlink r:id="rId328" ref="F332"/>
    <hyperlink r:id="rId329" ref="F333"/>
    <hyperlink r:id="rId330" ref="F334"/>
    <hyperlink r:id="rId331" ref="F335"/>
    <hyperlink r:id="rId332" ref="F336"/>
    <hyperlink r:id="rId333" ref="F337"/>
    <hyperlink r:id="rId334" ref="F338"/>
    <hyperlink r:id="rId335" ref="F339"/>
    <hyperlink r:id="rId336" ref="F340"/>
    <hyperlink r:id="rId337" ref="F341"/>
    <hyperlink r:id="rId338" ref="F342"/>
    <hyperlink r:id="rId339" ref="F343"/>
    <hyperlink r:id="rId340" ref="F344"/>
    <hyperlink r:id="rId341" ref="F345"/>
    <hyperlink r:id="rId342" ref="F346"/>
    <hyperlink r:id="rId343" ref="F347"/>
    <hyperlink r:id="rId344" ref="F348"/>
    <hyperlink r:id="rId345" ref="F349"/>
    <hyperlink r:id="rId346" ref="F350"/>
    <hyperlink r:id="rId347" ref="F351"/>
    <hyperlink r:id="rId348" ref="F352"/>
    <hyperlink r:id="rId349" ref="F353"/>
    <hyperlink r:id="rId350" ref="F354"/>
    <hyperlink r:id="rId351" ref="F355"/>
    <hyperlink r:id="rId352" ref="F356"/>
    <hyperlink r:id="rId353" ref="F357"/>
    <hyperlink r:id="rId354" ref="F358"/>
    <hyperlink r:id="rId355" ref="F359"/>
    <hyperlink r:id="rId356" ref="F360"/>
    <hyperlink r:id="rId357" ref="F361"/>
    <hyperlink r:id="rId358" ref="F362"/>
    <hyperlink r:id="rId359" ref="F363"/>
    <hyperlink r:id="rId360" ref="F364"/>
    <hyperlink r:id="rId361" ref="F365"/>
    <hyperlink r:id="rId362" ref="F366"/>
    <hyperlink r:id="rId363" ref="F367"/>
    <hyperlink r:id="rId364" ref="F368"/>
    <hyperlink r:id="rId365" ref="F369"/>
    <hyperlink r:id="rId366" ref="F370"/>
    <hyperlink r:id="rId367" ref="F371"/>
    <hyperlink r:id="rId368" ref="F372"/>
    <hyperlink r:id="rId369" ref="F373"/>
    <hyperlink r:id="rId370" ref="F374"/>
    <hyperlink r:id="rId371" ref="F375"/>
    <hyperlink r:id="rId372" ref="F376"/>
    <hyperlink r:id="rId373" ref="F377"/>
    <hyperlink r:id="rId374" ref="F378"/>
    <hyperlink r:id="rId375" ref="F379"/>
    <hyperlink r:id="rId376" ref="F380"/>
    <hyperlink r:id="rId377" ref="F381"/>
    <hyperlink r:id="rId378" ref="F382"/>
    <hyperlink r:id="rId379" ref="F383"/>
    <hyperlink r:id="rId380" ref="F386"/>
    <hyperlink r:id="rId381" ref="F387"/>
    <hyperlink r:id="rId382" ref="F388"/>
    <hyperlink r:id="rId383" ref="F389"/>
    <hyperlink r:id="rId384" ref="F390"/>
    <hyperlink r:id="rId385" ref="F391"/>
    <hyperlink r:id="rId386" ref="F392"/>
    <hyperlink r:id="rId387" ref="F394"/>
    <hyperlink r:id="rId388" ref="F395"/>
    <hyperlink r:id="rId389" ref="F396"/>
    <hyperlink r:id="rId390" ref="F397"/>
    <hyperlink r:id="rId391" ref="F398"/>
    <hyperlink r:id="rId392" ref="F399"/>
    <hyperlink r:id="rId393" ref="F400"/>
    <hyperlink r:id="rId394" ref="F401"/>
    <hyperlink r:id="rId395" ref="F402"/>
    <hyperlink r:id="rId396" ref="F403"/>
    <hyperlink r:id="rId397" ref="F404"/>
    <hyperlink r:id="rId398" ref="F405"/>
    <hyperlink r:id="rId399" ref="F406"/>
    <hyperlink r:id="rId400" ref="F407"/>
    <hyperlink r:id="rId401" ref="F408"/>
    <hyperlink r:id="rId402" ref="F409"/>
    <hyperlink r:id="rId403" ref="F410"/>
    <hyperlink r:id="rId404" ref="F411"/>
    <hyperlink r:id="rId405" ref="F412"/>
    <hyperlink r:id="rId406" ref="F413"/>
    <hyperlink r:id="rId407" ref="F414"/>
    <hyperlink r:id="rId408" ref="F415"/>
    <hyperlink r:id="rId409" ref="F416"/>
    <hyperlink r:id="rId410" ref="F417"/>
    <hyperlink r:id="rId411" ref="F418"/>
    <hyperlink r:id="rId412" ref="F419"/>
    <hyperlink r:id="rId413" ref="F420"/>
    <hyperlink r:id="rId414" ref="F421"/>
    <hyperlink r:id="rId415" ref="F422"/>
    <hyperlink r:id="rId416" ref="F423"/>
    <hyperlink r:id="rId417" ref="F424"/>
  </hyperlinks>
  <drawing r:id="rId41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2.75"/>
    <col customWidth="1" min="3" max="3" width="8.5"/>
    <col customWidth="1" min="4" max="4" width="13.13"/>
    <col customWidth="1" min="5" max="5" width="18.0"/>
    <col customWidth="1" min="6" max="6" width="11.25"/>
    <col customWidth="1" min="7" max="7" width="6.38"/>
    <col customWidth="1" min="8" max="8" width="18.63"/>
    <col customWidth="1" min="9" max="9" width="25.0"/>
    <col customWidth="1" min="10" max="10" width="28.38"/>
    <col customWidth="1" min="11" max="11" width="16.13"/>
    <col customWidth="1" min="12" max="26" width="7.63"/>
  </cols>
  <sheetData>
    <row r="1">
      <c r="A1" s="15" t="s">
        <v>1</v>
      </c>
      <c r="B1" s="15" t="s">
        <v>7</v>
      </c>
      <c r="C1" s="15" t="s">
        <v>9</v>
      </c>
      <c r="D1" s="16" t="s">
        <v>12</v>
      </c>
      <c r="E1" s="16" t="s">
        <v>13</v>
      </c>
      <c r="F1" s="15" t="s">
        <v>14</v>
      </c>
      <c r="G1" s="15" t="s">
        <v>17</v>
      </c>
      <c r="H1" s="15" t="s">
        <v>18</v>
      </c>
      <c r="I1" s="15" t="s">
        <v>19</v>
      </c>
      <c r="J1" s="15" t="s">
        <v>20</v>
      </c>
      <c r="K1" s="16" t="s">
        <v>22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7"/>
      <c r="X1" s="17"/>
      <c r="Y1" s="17"/>
      <c r="Z1" s="17"/>
    </row>
    <row r="2">
      <c r="A2" s="15" t="s">
        <v>32</v>
      </c>
      <c r="B2" s="15" t="s">
        <v>33</v>
      </c>
      <c r="C2" s="15" t="s">
        <v>34</v>
      </c>
      <c r="D2" s="15" t="s">
        <v>33</v>
      </c>
      <c r="E2" s="15" t="s">
        <v>36</v>
      </c>
      <c r="F2" s="15" t="s">
        <v>38</v>
      </c>
      <c r="G2" s="15" t="s">
        <v>39</v>
      </c>
      <c r="H2" s="15" t="s">
        <v>40</v>
      </c>
      <c r="I2" s="15" t="s">
        <v>41</v>
      </c>
      <c r="J2" s="15" t="s">
        <v>42</v>
      </c>
      <c r="K2" s="15" t="s">
        <v>85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7"/>
      <c r="X2" s="17"/>
      <c r="Y2" s="17"/>
      <c r="Z2" s="17"/>
    </row>
    <row r="3">
      <c r="A3" s="15" t="s">
        <v>47</v>
      </c>
      <c r="B3" s="15" t="s">
        <v>89</v>
      </c>
      <c r="C3" s="15" t="s">
        <v>91</v>
      </c>
      <c r="D3" s="15" t="s">
        <v>92</v>
      </c>
      <c r="E3" s="15" t="s">
        <v>93</v>
      </c>
      <c r="F3" s="15" t="s">
        <v>94</v>
      </c>
      <c r="G3" s="15" t="s">
        <v>91</v>
      </c>
      <c r="H3" s="15" t="s">
        <v>95</v>
      </c>
      <c r="I3" s="15" t="s">
        <v>41</v>
      </c>
      <c r="J3" s="15" t="s">
        <v>96</v>
      </c>
      <c r="K3" s="15" t="s">
        <v>98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7"/>
      <c r="X3" s="17"/>
      <c r="Y3" s="17"/>
      <c r="Z3" s="17"/>
    </row>
    <row r="4">
      <c r="A4" s="15" t="s">
        <v>47</v>
      </c>
      <c r="B4" s="15" t="s">
        <v>48</v>
      </c>
      <c r="C4" s="15" t="s">
        <v>50</v>
      </c>
      <c r="D4" s="15" t="s">
        <v>102</v>
      </c>
      <c r="E4" s="15" t="s">
        <v>48</v>
      </c>
      <c r="F4" s="15" t="s">
        <v>38</v>
      </c>
      <c r="G4" s="15" t="s">
        <v>52</v>
      </c>
      <c r="H4" s="15" t="s">
        <v>53</v>
      </c>
      <c r="I4" s="15" t="s">
        <v>41</v>
      </c>
      <c r="J4" s="15" t="s">
        <v>55</v>
      </c>
      <c r="K4" s="15" t="s">
        <v>85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7"/>
      <c r="X4" s="17"/>
      <c r="Y4" s="17"/>
      <c r="Z4" s="17"/>
    </row>
    <row r="5">
      <c r="A5" s="15" t="s">
        <v>47</v>
      </c>
      <c r="B5" s="15" t="s">
        <v>89</v>
      </c>
      <c r="C5" s="15" t="s">
        <v>91</v>
      </c>
      <c r="D5" s="15" t="s">
        <v>103</v>
      </c>
      <c r="E5" s="15" t="s">
        <v>71</v>
      </c>
      <c r="F5" s="15" t="s">
        <v>94</v>
      </c>
      <c r="G5" s="15" t="s">
        <v>91</v>
      </c>
      <c r="H5" s="15" t="s">
        <v>78</v>
      </c>
      <c r="I5" s="15" t="s">
        <v>41</v>
      </c>
      <c r="J5" s="15" t="s">
        <v>69</v>
      </c>
      <c r="K5" s="15" t="s">
        <v>98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7"/>
      <c r="X5" s="17"/>
      <c r="Y5" s="17"/>
      <c r="Z5" s="17"/>
    </row>
    <row r="6">
      <c r="A6" s="15" t="s">
        <v>47</v>
      </c>
      <c r="B6" s="15" t="s">
        <v>89</v>
      </c>
      <c r="C6" s="15" t="s">
        <v>91</v>
      </c>
      <c r="D6" s="15" t="s">
        <v>106</v>
      </c>
      <c r="E6" s="15" t="s">
        <v>107</v>
      </c>
      <c r="F6" s="15" t="s">
        <v>94</v>
      </c>
      <c r="G6" s="15" t="s">
        <v>91</v>
      </c>
      <c r="H6" s="15" t="s">
        <v>109</v>
      </c>
      <c r="I6" s="15" t="s">
        <v>41</v>
      </c>
      <c r="J6" s="15" t="s">
        <v>110</v>
      </c>
      <c r="K6" s="15" t="s">
        <v>98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7"/>
      <c r="X6" s="17"/>
      <c r="Y6" s="17"/>
      <c r="Z6" s="17"/>
    </row>
    <row r="7">
      <c r="A7" s="15" t="s">
        <v>47</v>
      </c>
      <c r="B7" s="15" t="s">
        <v>89</v>
      </c>
      <c r="C7" s="15" t="s">
        <v>91</v>
      </c>
      <c r="D7" s="15" t="s">
        <v>114</v>
      </c>
      <c r="E7" s="15" t="s">
        <v>116</v>
      </c>
      <c r="F7" s="15" t="s">
        <v>94</v>
      </c>
      <c r="G7" s="15" t="s">
        <v>91</v>
      </c>
      <c r="H7" s="15" t="s">
        <v>117</v>
      </c>
      <c r="I7" s="15" t="s">
        <v>41</v>
      </c>
      <c r="J7" s="15" t="s">
        <v>118</v>
      </c>
      <c r="K7" s="15" t="s">
        <v>98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7"/>
      <c r="X7" s="17"/>
      <c r="Y7" s="17"/>
      <c r="Z7" s="17"/>
    </row>
    <row r="8">
      <c r="A8" s="15" t="s">
        <v>47</v>
      </c>
      <c r="B8" s="15" t="s">
        <v>89</v>
      </c>
      <c r="C8" s="15" t="s">
        <v>91</v>
      </c>
      <c r="D8" s="15" t="s">
        <v>119</v>
      </c>
      <c r="E8" s="15" t="s">
        <v>121</v>
      </c>
      <c r="F8" s="15" t="s">
        <v>94</v>
      </c>
      <c r="G8" s="15" t="s">
        <v>91</v>
      </c>
      <c r="H8" s="15" t="s">
        <v>124</v>
      </c>
      <c r="I8" s="15" t="s">
        <v>41</v>
      </c>
      <c r="J8" s="15" t="s">
        <v>125</v>
      </c>
      <c r="K8" s="15" t="s">
        <v>98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7"/>
      <c r="X8" s="17"/>
      <c r="Y8" s="17"/>
      <c r="Z8" s="17"/>
    </row>
    <row r="9">
      <c r="A9" s="15" t="s">
        <v>47</v>
      </c>
      <c r="B9" s="15" t="s">
        <v>89</v>
      </c>
      <c r="C9" s="15" t="s">
        <v>91</v>
      </c>
      <c r="D9" s="15" t="s">
        <v>129</v>
      </c>
      <c r="E9" s="15" t="s">
        <v>130</v>
      </c>
      <c r="F9" s="15" t="s">
        <v>94</v>
      </c>
      <c r="G9" s="15" t="s">
        <v>91</v>
      </c>
      <c r="H9" s="15" t="s">
        <v>131</v>
      </c>
      <c r="I9" s="15" t="s">
        <v>41</v>
      </c>
      <c r="J9" s="15" t="s">
        <v>132</v>
      </c>
      <c r="K9" s="15" t="s">
        <v>98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7"/>
      <c r="X9" s="17"/>
      <c r="Y9" s="17"/>
      <c r="Z9" s="17"/>
    </row>
    <row r="10">
      <c r="A10" s="15" t="s">
        <v>47</v>
      </c>
      <c r="B10" s="15" t="s">
        <v>56</v>
      </c>
      <c r="C10" s="15" t="s">
        <v>57</v>
      </c>
      <c r="D10" s="15" t="s">
        <v>136</v>
      </c>
      <c r="E10" s="15" t="s">
        <v>56</v>
      </c>
      <c r="F10" s="15" t="s">
        <v>38</v>
      </c>
      <c r="G10" s="15" t="s">
        <v>52</v>
      </c>
      <c r="H10" s="15" t="s">
        <v>59</v>
      </c>
      <c r="I10" s="15" t="s">
        <v>41</v>
      </c>
      <c r="J10" s="15" t="s">
        <v>60</v>
      </c>
      <c r="K10" s="15" t="s">
        <v>85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7"/>
      <c r="X10" s="17"/>
      <c r="Y10" s="17"/>
      <c r="Z10" s="17"/>
    </row>
    <row r="11">
      <c r="A11" s="15" t="s">
        <v>47</v>
      </c>
      <c r="B11" s="15" t="s">
        <v>89</v>
      </c>
      <c r="C11" s="15" t="s">
        <v>91</v>
      </c>
      <c r="D11" s="15" t="s">
        <v>143</v>
      </c>
      <c r="E11" s="15" t="s">
        <v>144</v>
      </c>
      <c r="F11" s="15" t="s">
        <v>94</v>
      </c>
      <c r="G11" s="15" t="s">
        <v>91</v>
      </c>
      <c r="H11" s="15" t="s">
        <v>145</v>
      </c>
      <c r="I11" s="15" t="s">
        <v>41</v>
      </c>
      <c r="J11" s="15" t="s">
        <v>146</v>
      </c>
      <c r="K11" s="15" t="s">
        <v>98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7"/>
      <c r="X11" s="17"/>
      <c r="Y11" s="17"/>
      <c r="Z11" s="17"/>
    </row>
    <row r="12">
      <c r="A12" s="15" t="s">
        <v>47</v>
      </c>
      <c r="B12" s="15" t="s">
        <v>64</v>
      </c>
      <c r="C12" s="15" t="s">
        <v>65</v>
      </c>
      <c r="D12" s="15" t="s">
        <v>149</v>
      </c>
      <c r="E12" s="15" t="s">
        <v>64</v>
      </c>
      <c r="F12" s="15" t="s">
        <v>38</v>
      </c>
      <c r="G12" s="15" t="s">
        <v>52</v>
      </c>
      <c r="H12" s="15" t="s">
        <v>66</v>
      </c>
      <c r="I12" s="15" t="s">
        <v>41</v>
      </c>
      <c r="J12" s="15" t="s">
        <v>67</v>
      </c>
      <c r="K12" s="15" t="s">
        <v>85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7"/>
      <c r="X12" s="17"/>
      <c r="Y12" s="17"/>
      <c r="Z12" s="17"/>
    </row>
    <row r="13">
      <c r="A13" s="15" t="s">
        <v>47</v>
      </c>
      <c r="B13" s="15" t="s">
        <v>72</v>
      </c>
      <c r="C13" s="15" t="s">
        <v>73</v>
      </c>
      <c r="D13" s="15" t="s">
        <v>153</v>
      </c>
      <c r="E13" s="15" t="s">
        <v>72</v>
      </c>
      <c r="F13" s="15" t="s">
        <v>38</v>
      </c>
      <c r="G13" s="15" t="s">
        <v>52</v>
      </c>
      <c r="H13" s="15" t="s">
        <v>74</v>
      </c>
      <c r="I13" s="15" t="s">
        <v>41</v>
      </c>
      <c r="J13" s="15" t="s">
        <v>75</v>
      </c>
      <c r="K13" s="15" t="s">
        <v>85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7"/>
      <c r="X13" s="17"/>
      <c r="Y13" s="17"/>
      <c r="Z13" s="17"/>
    </row>
    <row r="14">
      <c r="A14" s="15" t="s">
        <v>47</v>
      </c>
      <c r="B14" s="15" t="s">
        <v>76</v>
      </c>
      <c r="C14" s="15" t="s">
        <v>77</v>
      </c>
      <c r="D14" s="15" t="s">
        <v>153</v>
      </c>
      <c r="E14" s="15" t="s">
        <v>76</v>
      </c>
      <c r="F14" s="15" t="s">
        <v>38</v>
      </c>
      <c r="G14" s="15" t="s">
        <v>52</v>
      </c>
      <c r="H14" s="15" t="s">
        <v>74</v>
      </c>
      <c r="I14" s="15" t="s">
        <v>41</v>
      </c>
      <c r="J14" s="15" t="s">
        <v>75</v>
      </c>
      <c r="K14" s="15" t="s">
        <v>85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7"/>
      <c r="X14" s="17"/>
      <c r="Y14" s="17"/>
      <c r="Z14" s="17"/>
    </row>
    <row r="15">
      <c r="A15" s="15" t="s">
        <v>47</v>
      </c>
      <c r="B15" s="15" t="s">
        <v>81</v>
      </c>
      <c r="C15" s="15" t="s">
        <v>82</v>
      </c>
      <c r="D15" s="15" t="s">
        <v>161</v>
      </c>
      <c r="E15" s="15" t="s">
        <v>81</v>
      </c>
      <c r="F15" s="15" t="s">
        <v>38</v>
      </c>
      <c r="G15" s="15" t="s">
        <v>52</v>
      </c>
      <c r="H15" s="15" t="s">
        <v>84</v>
      </c>
      <c r="I15" s="15" t="s">
        <v>41</v>
      </c>
      <c r="J15" s="15" t="s">
        <v>86</v>
      </c>
      <c r="K15" s="15" t="s">
        <v>85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7"/>
      <c r="X15" s="17"/>
      <c r="Y15" s="17"/>
      <c r="Z15" s="17"/>
    </row>
    <row r="16">
      <c r="A16" s="15" t="s">
        <v>47</v>
      </c>
      <c r="B16" s="15" t="s">
        <v>89</v>
      </c>
      <c r="C16" s="15" t="s">
        <v>91</v>
      </c>
      <c r="D16" s="15" t="s">
        <v>165</v>
      </c>
      <c r="E16" s="15" t="s">
        <v>166</v>
      </c>
      <c r="F16" s="15" t="s">
        <v>94</v>
      </c>
      <c r="G16" s="15" t="s">
        <v>91</v>
      </c>
      <c r="H16" s="15" t="s">
        <v>167</v>
      </c>
      <c r="I16" s="15" t="s">
        <v>41</v>
      </c>
      <c r="J16" s="15" t="s">
        <v>169</v>
      </c>
      <c r="K16" s="15" t="s">
        <v>98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7"/>
      <c r="X16" s="17"/>
      <c r="Y16" s="17"/>
      <c r="Z16" s="17"/>
    </row>
    <row r="17">
      <c r="A17" s="15" t="s">
        <v>47</v>
      </c>
      <c r="B17" s="15" t="s">
        <v>89</v>
      </c>
      <c r="C17" s="15" t="s">
        <v>91</v>
      </c>
      <c r="D17" s="15" t="s">
        <v>172</v>
      </c>
      <c r="E17" s="15" t="s">
        <v>173</v>
      </c>
      <c r="F17" s="15" t="s">
        <v>94</v>
      </c>
      <c r="G17" s="15" t="s">
        <v>91</v>
      </c>
      <c r="H17" s="15" t="s">
        <v>174</v>
      </c>
      <c r="I17" s="15" t="s">
        <v>41</v>
      </c>
      <c r="J17" s="15" t="s">
        <v>175</v>
      </c>
      <c r="K17" s="15" t="s">
        <v>98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7"/>
      <c r="X17" s="17"/>
      <c r="Y17" s="17"/>
      <c r="Z17" s="17"/>
    </row>
    <row r="18">
      <c r="A18" s="15" t="s">
        <v>47</v>
      </c>
      <c r="B18" s="15" t="s">
        <v>97</v>
      </c>
      <c r="C18" s="15" t="s">
        <v>99</v>
      </c>
      <c r="D18" s="15" t="s">
        <v>176</v>
      </c>
      <c r="E18" s="15" t="s">
        <v>97</v>
      </c>
      <c r="F18" s="15" t="s">
        <v>38</v>
      </c>
      <c r="G18" s="15" t="s">
        <v>52</v>
      </c>
      <c r="H18" s="15" t="s">
        <v>100</v>
      </c>
      <c r="I18" s="15" t="s">
        <v>41</v>
      </c>
      <c r="J18" s="15" t="s">
        <v>101</v>
      </c>
      <c r="K18" s="15" t="s">
        <v>85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7"/>
      <c r="X18" s="17"/>
      <c r="Y18" s="17"/>
      <c r="Z18" s="17"/>
    </row>
    <row r="19">
      <c r="A19" s="15" t="s">
        <v>47</v>
      </c>
      <c r="B19" s="15" t="s">
        <v>104</v>
      </c>
      <c r="C19" s="15" t="s">
        <v>105</v>
      </c>
      <c r="D19" s="15" t="s">
        <v>188</v>
      </c>
      <c r="E19" s="15" t="s">
        <v>104</v>
      </c>
      <c r="F19" s="15" t="s">
        <v>38</v>
      </c>
      <c r="G19" s="15" t="s">
        <v>52</v>
      </c>
      <c r="H19" s="15" t="s">
        <v>111</v>
      </c>
      <c r="I19" s="15" t="s">
        <v>41</v>
      </c>
      <c r="J19" s="15" t="s">
        <v>112</v>
      </c>
      <c r="K19" s="15" t="s">
        <v>85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7"/>
      <c r="X19" s="17"/>
      <c r="Y19" s="17"/>
      <c r="Z19" s="17"/>
    </row>
    <row r="20">
      <c r="A20" s="15" t="s">
        <v>47</v>
      </c>
      <c r="B20" s="15" t="s">
        <v>89</v>
      </c>
      <c r="C20" s="15" t="s">
        <v>91</v>
      </c>
      <c r="D20" s="15" t="s">
        <v>191</v>
      </c>
      <c r="E20" s="15" t="s">
        <v>192</v>
      </c>
      <c r="F20" s="15" t="s">
        <v>94</v>
      </c>
      <c r="G20" s="15" t="s">
        <v>91</v>
      </c>
      <c r="H20" s="15" t="s">
        <v>193</v>
      </c>
      <c r="I20" s="15" t="s">
        <v>41</v>
      </c>
      <c r="J20" s="15" t="s">
        <v>194</v>
      </c>
      <c r="K20" s="15" t="s">
        <v>98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7"/>
      <c r="X20" s="17"/>
      <c r="Y20" s="17"/>
      <c r="Z20" s="17"/>
    </row>
    <row r="21" ht="15.75" customHeight="1">
      <c r="A21" s="15" t="s">
        <v>47</v>
      </c>
      <c r="B21" s="15" t="s">
        <v>89</v>
      </c>
      <c r="C21" s="15" t="s">
        <v>91</v>
      </c>
      <c r="D21" s="15" t="s">
        <v>195</v>
      </c>
      <c r="E21" s="15" t="s">
        <v>196</v>
      </c>
      <c r="F21" s="15" t="s">
        <v>94</v>
      </c>
      <c r="G21" s="15" t="s">
        <v>91</v>
      </c>
      <c r="H21" s="15" t="s">
        <v>197</v>
      </c>
      <c r="I21" s="15" t="s">
        <v>41</v>
      </c>
      <c r="J21" s="15" t="s">
        <v>200</v>
      </c>
      <c r="K21" s="15" t="s">
        <v>98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7"/>
      <c r="X21" s="17"/>
      <c r="Y21" s="17"/>
      <c r="Z21" s="17"/>
    </row>
    <row r="22" ht="15.75" customHeight="1">
      <c r="A22" s="15" t="s">
        <v>47</v>
      </c>
      <c r="B22" s="15" t="s">
        <v>89</v>
      </c>
      <c r="C22" s="15" t="s">
        <v>91</v>
      </c>
      <c r="D22" s="15" t="s">
        <v>205</v>
      </c>
      <c r="E22" s="15" t="s">
        <v>206</v>
      </c>
      <c r="F22" s="15" t="s">
        <v>94</v>
      </c>
      <c r="G22" s="15" t="s">
        <v>91</v>
      </c>
      <c r="H22" s="15" t="s">
        <v>207</v>
      </c>
      <c r="I22" s="15" t="s">
        <v>41</v>
      </c>
      <c r="J22" s="15" t="s">
        <v>208</v>
      </c>
      <c r="K22" s="15" t="s">
        <v>98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7"/>
      <c r="X22" s="17"/>
      <c r="Y22" s="17"/>
      <c r="Z22" s="17"/>
    </row>
    <row r="23" ht="15.75" customHeight="1">
      <c r="A23" s="15" t="s">
        <v>47</v>
      </c>
      <c r="B23" s="15" t="s">
        <v>89</v>
      </c>
      <c r="C23" s="15" t="s">
        <v>91</v>
      </c>
      <c r="D23" s="15" t="s">
        <v>210</v>
      </c>
      <c r="E23" s="15" t="s">
        <v>211</v>
      </c>
      <c r="F23" s="15" t="s">
        <v>94</v>
      </c>
      <c r="G23" s="15" t="s">
        <v>91</v>
      </c>
      <c r="H23" s="15" t="s">
        <v>212</v>
      </c>
      <c r="I23" s="15" t="s">
        <v>41</v>
      </c>
      <c r="J23" s="15" t="s">
        <v>213</v>
      </c>
      <c r="K23" s="15" t="s">
        <v>98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7"/>
      <c r="X23" s="17"/>
      <c r="Y23" s="17"/>
      <c r="Z23" s="17"/>
    </row>
    <row r="24" ht="15.75" customHeight="1">
      <c r="A24" s="15" t="s">
        <v>214</v>
      </c>
      <c r="B24" s="15" t="s">
        <v>215</v>
      </c>
      <c r="C24" s="15" t="s">
        <v>216</v>
      </c>
      <c r="D24" s="15" t="s">
        <v>215</v>
      </c>
      <c r="E24" s="15" t="s">
        <v>215</v>
      </c>
      <c r="F24" s="15" t="s">
        <v>38</v>
      </c>
      <c r="G24" s="15" t="s">
        <v>217</v>
      </c>
      <c r="H24" s="20" t="s">
        <v>220</v>
      </c>
      <c r="I24" s="20" t="s">
        <v>221</v>
      </c>
      <c r="J24" s="15" t="s">
        <v>222</v>
      </c>
      <c r="K24" s="15" t="s">
        <v>223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5" t="s">
        <v>229</v>
      </c>
      <c r="B25" s="15" t="s">
        <v>230</v>
      </c>
      <c r="C25" s="15" t="s">
        <v>232</v>
      </c>
      <c r="D25" s="15" t="s">
        <v>233</v>
      </c>
      <c r="E25" s="15" t="s">
        <v>234</v>
      </c>
      <c r="F25" s="15" t="s">
        <v>38</v>
      </c>
      <c r="G25" s="15" t="s">
        <v>52</v>
      </c>
      <c r="H25" s="20" t="s">
        <v>235</v>
      </c>
      <c r="I25" s="20" t="s">
        <v>221</v>
      </c>
      <c r="J25" s="15" t="s">
        <v>222</v>
      </c>
      <c r="K25" s="15" t="s">
        <v>223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5" t="s">
        <v>229</v>
      </c>
      <c r="B26" s="15" t="s">
        <v>238</v>
      </c>
      <c r="C26" s="15" t="s">
        <v>239</v>
      </c>
      <c r="D26" s="15" t="s">
        <v>240</v>
      </c>
      <c r="E26" s="15" t="s">
        <v>238</v>
      </c>
      <c r="F26" s="15" t="s">
        <v>38</v>
      </c>
      <c r="G26" s="15" t="s">
        <v>52</v>
      </c>
      <c r="H26" s="20" t="s">
        <v>242</v>
      </c>
      <c r="I26" s="20" t="s">
        <v>221</v>
      </c>
      <c r="J26" s="15" t="s">
        <v>222</v>
      </c>
      <c r="K26" s="15" t="s">
        <v>223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5" t="s">
        <v>120</v>
      </c>
      <c r="B27" s="15" t="s">
        <v>89</v>
      </c>
      <c r="C27" s="15" t="s">
        <v>91</v>
      </c>
      <c r="D27" s="15" t="s">
        <v>244</v>
      </c>
      <c r="E27" s="15" t="s">
        <v>245</v>
      </c>
      <c r="F27" s="15" t="s">
        <v>94</v>
      </c>
      <c r="G27" s="15" t="s">
        <v>91</v>
      </c>
      <c r="H27" s="15" t="s">
        <v>247</v>
      </c>
      <c r="I27" s="15" t="s">
        <v>41</v>
      </c>
      <c r="J27" s="15" t="s">
        <v>249</v>
      </c>
      <c r="K27" s="15" t="s">
        <v>98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7"/>
      <c r="X27" s="17"/>
      <c r="Y27" s="17"/>
      <c r="Z27" s="17"/>
    </row>
    <row r="28" ht="15.75" customHeight="1">
      <c r="A28" s="15" t="s">
        <v>120</v>
      </c>
      <c r="B28" s="15" t="s">
        <v>89</v>
      </c>
      <c r="C28" s="15" t="s">
        <v>91</v>
      </c>
      <c r="D28" s="15" t="s">
        <v>252</v>
      </c>
      <c r="E28" s="15" t="s">
        <v>253</v>
      </c>
      <c r="F28" s="15" t="s">
        <v>94</v>
      </c>
      <c r="G28" s="15" t="s">
        <v>91</v>
      </c>
      <c r="H28" s="15" t="s">
        <v>254</v>
      </c>
      <c r="I28" s="15" t="s">
        <v>41</v>
      </c>
      <c r="J28" s="15" t="s">
        <v>255</v>
      </c>
      <c r="K28" s="15" t="s">
        <v>98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7"/>
      <c r="X28" s="17"/>
      <c r="Y28" s="17"/>
      <c r="Z28" s="17"/>
    </row>
    <row r="29" ht="15.75" customHeight="1">
      <c r="A29" s="15" t="s">
        <v>120</v>
      </c>
      <c r="B29" s="15" t="s">
        <v>122</v>
      </c>
      <c r="C29" s="15" t="s">
        <v>123</v>
      </c>
      <c r="D29" s="15" t="s">
        <v>256</v>
      </c>
      <c r="E29" s="15" t="s">
        <v>122</v>
      </c>
      <c r="F29" s="15" t="s">
        <v>38</v>
      </c>
      <c r="G29" s="15" t="s">
        <v>52</v>
      </c>
      <c r="H29" s="15" t="s">
        <v>127</v>
      </c>
      <c r="I29" s="15" t="s">
        <v>41</v>
      </c>
      <c r="J29" s="15" t="s">
        <v>128</v>
      </c>
      <c r="K29" s="15" t="s">
        <v>223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7"/>
      <c r="X29" s="17"/>
      <c r="Y29" s="17"/>
      <c r="Z29" s="17"/>
    </row>
    <row r="30" ht="15.75" customHeight="1">
      <c r="A30" s="15" t="s">
        <v>120</v>
      </c>
      <c r="B30" s="15" t="s">
        <v>89</v>
      </c>
      <c r="C30" s="15" t="s">
        <v>91</v>
      </c>
      <c r="D30" s="15" t="s">
        <v>256</v>
      </c>
      <c r="E30" s="15" t="s">
        <v>261</v>
      </c>
      <c r="F30" s="15" t="s">
        <v>94</v>
      </c>
      <c r="G30" s="15" t="s">
        <v>91</v>
      </c>
      <c r="H30" s="15" t="s">
        <v>262</v>
      </c>
      <c r="I30" s="15" t="s">
        <v>41</v>
      </c>
      <c r="J30" s="15" t="s">
        <v>128</v>
      </c>
      <c r="K30" s="15" t="s">
        <v>98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7"/>
      <c r="X30" s="17"/>
      <c r="Y30" s="17"/>
      <c r="Z30" s="17"/>
    </row>
    <row r="31" ht="15.75" customHeight="1">
      <c r="A31" s="15" t="s">
        <v>120</v>
      </c>
      <c r="B31" s="15" t="s">
        <v>134</v>
      </c>
      <c r="C31" s="15" t="s">
        <v>135</v>
      </c>
      <c r="D31" s="15" t="s">
        <v>264</v>
      </c>
      <c r="E31" s="15" t="s">
        <v>134</v>
      </c>
      <c r="F31" s="15" t="s">
        <v>38</v>
      </c>
      <c r="G31" s="15" t="s">
        <v>52</v>
      </c>
      <c r="H31" s="15" t="s">
        <v>139</v>
      </c>
      <c r="I31" s="15" t="s">
        <v>41</v>
      </c>
      <c r="J31" s="15" t="s">
        <v>142</v>
      </c>
      <c r="K31" s="15" t="s">
        <v>85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7"/>
      <c r="X31" s="17"/>
      <c r="Y31" s="17"/>
      <c r="Z31" s="17"/>
    </row>
    <row r="32" ht="15.75" customHeight="1">
      <c r="A32" s="15" t="s">
        <v>120</v>
      </c>
      <c r="B32" s="15" t="s">
        <v>147</v>
      </c>
      <c r="C32" s="15"/>
      <c r="D32" s="15" t="s">
        <v>264</v>
      </c>
      <c r="E32" s="21" t="s">
        <v>147</v>
      </c>
      <c r="F32" s="21" t="s">
        <v>151</v>
      </c>
      <c r="G32" s="21" t="s">
        <v>152</v>
      </c>
      <c r="H32" s="15" t="s">
        <v>139</v>
      </c>
      <c r="I32" s="15" t="s">
        <v>41</v>
      </c>
      <c r="J32" s="15" t="s">
        <v>142</v>
      </c>
      <c r="K32" s="15" t="s">
        <v>85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7"/>
      <c r="X32" s="17"/>
      <c r="Y32" s="17"/>
      <c r="Z32" s="17"/>
    </row>
    <row r="33" ht="15.75" customHeight="1">
      <c r="A33" s="15" t="s">
        <v>120</v>
      </c>
      <c r="B33" s="15" t="s">
        <v>154</v>
      </c>
      <c r="C33" s="15" t="s">
        <v>155</v>
      </c>
      <c r="D33" s="15" t="s">
        <v>264</v>
      </c>
      <c r="E33" s="15" t="s">
        <v>154</v>
      </c>
      <c r="F33" s="15" t="s">
        <v>38</v>
      </c>
      <c r="G33" s="15" t="s">
        <v>52</v>
      </c>
      <c r="H33" s="15" t="s">
        <v>139</v>
      </c>
      <c r="I33" s="15" t="s">
        <v>41</v>
      </c>
      <c r="J33" s="15" t="s">
        <v>142</v>
      </c>
      <c r="K33" s="15" t="s">
        <v>85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7"/>
      <c r="X33" s="17"/>
      <c r="Y33" s="17"/>
      <c r="Z33" s="17"/>
    </row>
    <row r="34" ht="15.75" customHeight="1">
      <c r="A34" s="15" t="s">
        <v>120</v>
      </c>
      <c r="B34" s="15" t="s">
        <v>162</v>
      </c>
      <c r="C34" s="15" t="s">
        <v>163</v>
      </c>
      <c r="D34" s="15" t="s">
        <v>264</v>
      </c>
      <c r="E34" s="15" t="s">
        <v>162</v>
      </c>
      <c r="F34" s="15" t="s">
        <v>38</v>
      </c>
      <c r="G34" s="15" t="s">
        <v>52</v>
      </c>
      <c r="H34" s="15" t="s">
        <v>139</v>
      </c>
      <c r="I34" s="15" t="s">
        <v>41</v>
      </c>
      <c r="J34" s="15" t="s">
        <v>142</v>
      </c>
      <c r="K34" s="15" t="s">
        <v>85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7"/>
      <c r="X34" s="17"/>
      <c r="Y34" s="17"/>
      <c r="Z34" s="17"/>
    </row>
    <row r="35" ht="15.75" customHeight="1">
      <c r="A35" s="15" t="s">
        <v>120</v>
      </c>
      <c r="B35" s="15" t="s">
        <v>170</v>
      </c>
      <c r="C35" s="15" t="s">
        <v>171</v>
      </c>
      <c r="D35" s="15" t="s">
        <v>264</v>
      </c>
      <c r="E35" s="15" t="s">
        <v>170</v>
      </c>
      <c r="F35" s="15" t="s">
        <v>38</v>
      </c>
      <c r="G35" s="15" t="s">
        <v>52</v>
      </c>
      <c r="H35" s="15" t="s">
        <v>139</v>
      </c>
      <c r="I35" s="15" t="s">
        <v>41</v>
      </c>
      <c r="J35" s="15" t="s">
        <v>142</v>
      </c>
      <c r="K35" s="15" t="s">
        <v>85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7"/>
      <c r="X35" s="17"/>
      <c r="Y35" s="17"/>
      <c r="Z35" s="17"/>
    </row>
    <row r="36" ht="15.75" customHeight="1">
      <c r="A36" s="15" t="s">
        <v>120</v>
      </c>
      <c r="B36" s="15" t="s">
        <v>177</v>
      </c>
      <c r="C36" s="15" t="s">
        <v>178</v>
      </c>
      <c r="D36" s="15" t="s">
        <v>264</v>
      </c>
      <c r="E36" s="15" t="s">
        <v>177</v>
      </c>
      <c r="F36" s="15" t="s">
        <v>38</v>
      </c>
      <c r="G36" s="15" t="s">
        <v>52</v>
      </c>
      <c r="H36" s="15" t="s">
        <v>139</v>
      </c>
      <c r="I36" s="15" t="s">
        <v>41</v>
      </c>
      <c r="J36" s="15" t="s">
        <v>142</v>
      </c>
      <c r="K36" s="15" t="s">
        <v>85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7"/>
      <c r="X36" s="17"/>
      <c r="Y36" s="17"/>
      <c r="Z36" s="17"/>
    </row>
    <row r="37" ht="15.75" customHeight="1">
      <c r="A37" s="15" t="s">
        <v>120</v>
      </c>
      <c r="B37" s="15" t="s">
        <v>187</v>
      </c>
      <c r="C37" s="15" t="s">
        <v>189</v>
      </c>
      <c r="D37" s="15" t="s">
        <v>264</v>
      </c>
      <c r="E37" s="15" t="s">
        <v>187</v>
      </c>
      <c r="F37" s="15" t="s">
        <v>38</v>
      </c>
      <c r="G37" s="15" t="s">
        <v>52</v>
      </c>
      <c r="H37" s="15" t="s">
        <v>139</v>
      </c>
      <c r="I37" s="15" t="s">
        <v>41</v>
      </c>
      <c r="J37" s="15" t="s">
        <v>142</v>
      </c>
      <c r="K37" s="15" t="s">
        <v>85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7"/>
      <c r="X37" s="17"/>
      <c r="Y37" s="17"/>
      <c r="Z37" s="17"/>
    </row>
    <row r="38" ht="15.75" customHeight="1">
      <c r="A38" s="15" t="s">
        <v>120</v>
      </c>
      <c r="B38" s="15" t="s">
        <v>190</v>
      </c>
      <c r="C38" s="15"/>
      <c r="D38" s="15" t="s">
        <v>264</v>
      </c>
      <c r="E38" s="21" t="s">
        <v>190</v>
      </c>
      <c r="F38" s="21" t="s">
        <v>151</v>
      </c>
      <c r="G38" s="21" t="s">
        <v>152</v>
      </c>
      <c r="H38" s="15" t="s">
        <v>139</v>
      </c>
      <c r="I38" s="15" t="s">
        <v>41</v>
      </c>
      <c r="J38" s="15" t="s">
        <v>142</v>
      </c>
      <c r="K38" s="15" t="s">
        <v>85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7"/>
      <c r="X38" s="17"/>
      <c r="Y38" s="17"/>
      <c r="Z38" s="17"/>
    </row>
    <row r="39" ht="15.75" customHeight="1">
      <c r="A39" s="15" t="s">
        <v>120</v>
      </c>
      <c r="B39" s="15" t="s">
        <v>201</v>
      </c>
      <c r="C39" s="15"/>
      <c r="D39" s="15" t="s">
        <v>264</v>
      </c>
      <c r="E39" s="21" t="s">
        <v>201</v>
      </c>
      <c r="F39" s="21" t="s">
        <v>151</v>
      </c>
      <c r="G39" s="21" t="s">
        <v>152</v>
      </c>
      <c r="H39" s="15" t="s">
        <v>139</v>
      </c>
      <c r="I39" s="15" t="s">
        <v>41</v>
      </c>
      <c r="J39" s="15" t="s">
        <v>142</v>
      </c>
      <c r="K39" s="15" t="s">
        <v>85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7"/>
      <c r="X39" s="17"/>
      <c r="Y39" s="17"/>
      <c r="Z39" s="17"/>
    </row>
    <row r="40" ht="15.75" customHeight="1">
      <c r="A40" s="15" t="s">
        <v>120</v>
      </c>
      <c r="B40" s="15" t="s">
        <v>209</v>
      </c>
      <c r="C40" s="15"/>
      <c r="D40" s="15" t="s">
        <v>264</v>
      </c>
      <c r="E40" s="21" t="s">
        <v>209</v>
      </c>
      <c r="F40" s="21" t="s">
        <v>151</v>
      </c>
      <c r="G40" s="21" t="s">
        <v>152</v>
      </c>
      <c r="H40" s="15" t="s">
        <v>139</v>
      </c>
      <c r="I40" s="15" t="s">
        <v>41</v>
      </c>
      <c r="J40" s="15" t="s">
        <v>142</v>
      </c>
      <c r="K40" s="15" t="s">
        <v>85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7"/>
      <c r="X40" s="17"/>
      <c r="Y40" s="17"/>
      <c r="Z40" s="17"/>
    </row>
    <row r="41" ht="15.75" customHeight="1">
      <c r="A41" s="15" t="s">
        <v>120</v>
      </c>
      <c r="B41" s="15" t="s">
        <v>218</v>
      </c>
      <c r="C41" s="15" t="s">
        <v>219</v>
      </c>
      <c r="D41" s="15" t="s">
        <v>264</v>
      </c>
      <c r="E41" s="15" t="s">
        <v>218</v>
      </c>
      <c r="F41" s="15" t="s">
        <v>38</v>
      </c>
      <c r="G41" s="15" t="s">
        <v>52</v>
      </c>
      <c r="H41" s="15" t="s">
        <v>139</v>
      </c>
      <c r="I41" s="15" t="s">
        <v>41</v>
      </c>
      <c r="J41" s="15" t="s">
        <v>142</v>
      </c>
      <c r="K41" s="15" t="s">
        <v>85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7"/>
      <c r="X41" s="17"/>
      <c r="Y41" s="17"/>
      <c r="Z41" s="17"/>
    </row>
    <row r="42" ht="15.75" customHeight="1">
      <c r="A42" s="15" t="s">
        <v>120</v>
      </c>
      <c r="B42" s="15" t="s">
        <v>231</v>
      </c>
      <c r="C42" s="15"/>
      <c r="D42" s="15" t="s">
        <v>264</v>
      </c>
      <c r="E42" s="21" t="s">
        <v>231</v>
      </c>
      <c r="F42" s="21" t="s">
        <v>151</v>
      </c>
      <c r="G42" s="21" t="s">
        <v>152</v>
      </c>
      <c r="H42" s="15" t="s">
        <v>139</v>
      </c>
      <c r="I42" s="15" t="s">
        <v>41</v>
      </c>
      <c r="J42" s="15" t="s">
        <v>142</v>
      </c>
      <c r="K42" s="15" t="s">
        <v>85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7"/>
      <c r="X42" s="17"/>
      <c r="Y42" s="17"/>
      <c r="Z42" s="17"/>
    </row>
    <row r="43" ht="15.75" customHeight="1">
      <c r="A43" s="15" t="s">
        <v>120</v>
      </c>
      <c r="B43" s="15" t="s">
        <v>241</v>
      </c>
      <c r="C43" s="15"/>
      <c r="D43" s="15" t="s">
        <v>297</v>
      </c>
      <c r="E43" s="21" t="s">
        <v>241</v>
      </c>
      <c r="F43" s="21" t="s">
        <v>151</v>
      </c>
      <c r="G43" s="21" t="s">
        <v>152</v>
      </c>
      <c r="H43" s="15" t="s">
        <v>126</v>
      </c>
      <c r="I43" s="15" t="s">
        <v>41</v>
      </c>
      <c r="J43" s="15" t="s">
        <v>243</v>
      </c>
      <c r="K43" s="15" t="s">
        <v>85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7"/>
      <c r="X43" s="17"/>
      <c r="Y43" s="17"/>
      <c r="Z43" s="17"/>
    </row>
    <row r="44" ht="15.75" customHeight="1">
      <c r="A44" s="15" t="s">
        <v>120</v>
      </c>
      <c r="B44" s="15" t="s">
        <v>251</v>
      </c>
      <c r="C44" s="15"/>
      <c r="D44" s="15" t="s">
        <v>297</v>
      </c>
      <c r="E44" s="21" t="s">
        <v>251</v>
      </c>
      <c r="F44" s="21" t="s">
        <v>151</v>
      </c>
      <c r="G44" s="21" t="s">
        <v>152</v>
      </c>
      <c r="H44" s="15" t="s">
        <v>126</v>
      </c>
      <c r="I44" s="15" t="s">
        <v>41</v>
      </c>
      <c r="J44" s="15" t="s">
        <v>243</v>
      </c>
      <c r="K44" s="15" t="s">
        <v>85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7"/>
      <c r="X44" s="17"/>
      <c r="Y44" s="17"/>
      <c r="Z44" s="17"/>
    </row>
    <row r="45" ht="15.75" customHeight="1">
      <c r="A45" s="15" t="s">
        <v>120</v>
      </c>
      <c r="B45" s="15" t="s">
        <v>260</v>
      </c>
      <c r="C45" s="15"/>
      <c r="D45" s="15" t="s">
        <v>297</v>
      </c>
      <c r="E45" s="21" t="s">
        <v>260</v>
      </c>
      <c r="F45" s="21" t="s">
        <v>151</v>
      </c>
      <c r="G45" s="21" t="s">
        <v>152</v>
      </c>
      <c r="H45" s="15" t="s">
        <v>126</v>
      </c>
      <c r="I45" s="15" t="s">
        <v>41</v>
      </c>
      <c r="J45" s="15" t="s">
        <v>243</v>
      </c>
      <c r="K45" s="15" t="s">
        <v>85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7"/>
      <c r="X45" s="17"/>
      <c r="Y45" s="17"/>
      <c r="Z45" s="17"/>
    </row>
    <row r="46" ht="15.75" customHeight="1">
      <c r="A46" s="15" t="s">
        <v>268</v>
      </c>
      <c r="B46" s="15" t="s">
        <v>303</v>
      </c>
      <c r="C46" s="15" t="s">
        <v>304</v>
      </c>
      <c r="D46" s="15" t="s">
        <v>303</v>
      </c>
      <c r="E46" s="15" t="s">
        <v>305</v>
      </c>
      <c r="F46" s="15" t="s">
        <v>38</v>
      </c>
      <c r="G46" s="15" t="s">
        <v>306</v>
      </c>
      <c r="H46" s="20" t="s">
        <v>307</v>
      </c>
      <c r="I46" s="20" t="s">
        <v>221</v>
      </c>
      <c r="J46" s="15" t="s">
        <v>222</v>
      </c>
      <c r="K46" s="15" t="s">
        <v>223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7"/>
      <c r="X46" s="17"/>
      <c r="Y46" s="17"/>
      <c r="Z46" s="17"/>
    </row>
    <row r="47" ht="15.75" customHeight="1">
      <c r="A47" s="15" t="s">
        <v>311</v>
      </c>
      <c r="B47" s="15" t="s">
        <v>89</v>
      </c>
      <c r="C47" s="15" t="s">
        <v>91</v>
      </c>
      <c r="D47" s="15" t="s">
        <v>312</v>
      </c>
      <c r="E47" s="15" t="s">
        <v>313</v>
      </c>
      <c r="F47" s="15" t="s">
        <v>94</v>
      </c>
      <c r="G47" s="15" t="s">
        <v>91</v>
      </c>
      <c r="H47" s="15" t="s">
        <v>314</v>
      </c>
      <c r="I47" s="15" t="s">
        <v>41</v>
      </c>
      <c r="J47" s="15" t="s">
        <v>315</v>
      </c>
      <c r="K47" s="15" t="s">
        <v>98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7"/>
      <c r="X47" s="17"/>
      <c r="Y47" s="17"/>
      <c r="Z47" s="17"/>
    </row>
    <row r="48" ht="15.75" customHeight="1">
      <c r="A48" s="15" t="s">
        <v>319</v>
      </c>
      <c r="B48" s="15" t="s">
        <v>89</v>
      </c>
      <c r="C48" s="15" t="s">
        <v>91</v>
      </c>
      <c r="D48" s="15" t="s">
        <v>320</v>
      </c>
      <c r="E48" s="15" t="s">
        <v>321</v>
      </c>
      <c r="F48" s="15" t="s">
        <v>94</v>
      </c>
      <c r="G48" s="15" t="s">
        <v>91</v>
      </c>
      <c r="H48" s="15" t="s">
        <v>322</v>
      </c>
      <c r="I48" s="15" t="s">
        <v>41</v>
      </c>
      <c r="J48" s="15" t="s">
        <v>323</v>
      </c>
      <c r="K48" s="15" t="s">
        <v>98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7"/>
      <c r="X48" s="17"/>
      <c r="Y48" s="17"/>
      <c r="Z48" s="17"/>
    </row>
    <row r="49" ht="15.75" customHeight="1">
      <c r="A49" s="15" t="s">
        <v>268</v>
      </c>
      <c r="B49" s="15" t="s">
        <v>269</v>
      </c>
      <c r="C49" s="15" t="s">
        <v>270</v>
      </c>
      <c r="D49" s="15" t="s">
        <v>269</v>
      </c>
      <c r="E49" s="15" t="s">
        <v>271</v>
      </c>
      <c r="F49" s="15" t="s">
        <v>38</v>
      </c>
      <c r="G49" s="15" t="s">
        <v>272</v>
      </c>
      <c r="H49" s="15" t="s">
        <v>273</v>
      </c>
      <c r="I49" s="15" t="s">
        <v>41</v>
      </c>
      <c r="J49" s="15" t="s">
        <v>274</v>
      </c>
      <c r="K49" s="15" t="s">
        <v>85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7"/>
      <c r="X49" s="17"/>
      <c r="Y49" s="17"/>
      <c r="Z49" s="17"/>
    </row>
    <row r="50" ht="15.75" customHeight="1">
      <c r="A50" s="15" t="s">
        <v>268</v>
      </c>
      <c r="B50" s="15" t="s">
        <v>276</v>
      </c>
      <c r="C50" s="15" t="s">
        <v>276</v>
      </c>
      <c r="D50" s="15" t="s">
        <v>269</v>
      </c>
      <c r="E50" s="22" t="s">
        <v>277</v>
      </c>
      <c r="F50" s="22" t="s">
        <v>278</v>
      </c>
      <c r="G50" s="15" t="s">
        <v>272</v>
      </c>
      <c r="H50" s="15" t="s">
        <v>273</v>
      </c>
      <c r="I50" s="15" t="s">
        <v>41</v>
      </c>
      <c r="J50" s="15" t="s">
        <v>274</v>
      </c>
      <c r="K50" s="15" t="s">
        <v>85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7"/>
      <c r="X50" s="17"/>
      <c r="Y50" s="17"/>
      <c r="Z50" s="17"/>
    </row>
    <row r="51" ht="15.75" customHeight="1">
      <c r="A51" s="15" t="s">
        <v>268</v>
      </c>
      <c r="B51" s="15" t="s">
        <v>286</v>
      </c>
      <c r="C51" s="15" t="s">
        <v>286</v>
      </c>
      <c r="D51" s="15" t="s">
        <v>269</v>
      </c>
      <c r="E51" s="22" t="s">
        <v>287</v>
      </c>
      <c r="F51" s="22" t="s">
        <v>278</v>
      </c>
      <c r="G51" s="15" t="s">
        <v>272</v>
      </c>
      <c r="H51" s="15" t="s">
        <v>273</v>
      </c>
      <c r="I51" s="15" t="s">
        <v>41</v>
      </c>
      <c r="J51" s="15" t="s">
        <v>274</v>
      </c>
      <c r="K51" s="15" t="s">
        <v>85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7"/>
      <c r="X51" s="17"/>
      <c r="Y51" s="17"/>
      <c r="Z51" s="17"/>
    </row>
    <row r="52" ht="15.75" customHeight="1">
      <c r="A52" s="15" t="s">
        <v>268</v>
      </c>
      <c r="B52" s="15" t="s">
        <v>290</v>
      </c>
      <c r="C52" s="15" t="s">
        <v>290</v>
      </c>
      <c r="D52" s="15" t="s">
        <v>269</v>
      </c>
      <c r="E52" s="22" t="s">
        <v>291</v>
      </c>
      <c r="F52" s="22" t="s">
        <v>278</v>
      </c>
      <c r="G52" s="15" t="s">
        <v>272</v>
      </c>
      <c r="H52" s="15" t="s">
        <v>273</v>
      </c>
      <c r="I52" s="15" t="s">
        <v>41</v>
      </c>
      <c r="J52" s="15" t="s">
        <v>274</v>
      </c>
      <c r="K52" s="15" t="s">
        <v>85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7"/>
      <c r="X52" s="17"/>
      <c r="Y52" s="17"/>
      <c r="Z52" s="17"/>
    </row>
    <row r="53" ht="15.75" customHeight="1">
      <c r="A53" s="15" t="s">
        <v>268</v>
      </c>
      <c r="B53" s="15" t="s">
        <v>294</v>
      </c>
      <c r="C53" s="15" t="s">
        <v>294</v>
      </c>
      <c r="D53" s="15" t="s">
        <v>269</v>
      </c>
      <c r="E53" s="22" t="s">
        <v>295</v>
      </c>
      <c r="F53" s="22" t="s">
        <v>278</v>
      </c>
      <c r="G53" s="15" t="s">
        <v>272</v>
      </c>
      <c r="H53" s="15" t="s">
        <v>273</v>
      </c>
      <c r="I53" s="15" t="s">
        <v>41</v>
      </c>
      <c r="J53" s="15" t="s">
        <v>274</v>
      </c>
      <c r="K53" s="15" t="s">
        <v>85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7"/>
      <c r="X53" s="17"/>
      <c r="Y53" s="17"/>
      <c r="Z53" s="17"/>
    </row>
    <row r="54" ht="15.75" customHeight="1">
      <c r="A54" s="15" t="s">
        <v>268</v>
      </c>
      <c r="B54" s="15" t="s">
        <v>301</v>
      </c>
      <c r="C54" s="15" t="s">
        <v>301</v>
      </c>
      <c r="D54" s="15" t="s">
        <v>269</v>
      </c>
      <c r="E54" s="22" t="s">
        <v>302</v>
      </c>
      <c r="F54" s="22" t="s">
        <v>278</v>
      </c>
      <c r="G54" s="15" t="s">
        <v>272</v>
      </c>
      <c r="H54" s="15" t="s">
        <v>273</v>
      </c>
      <c r="I54" s="15" t="s">
        <v>41</v>
      </c>
      <c r="J54" s="15" t="s">
        <v>274</v>
      </c>
      <c r="K54" s="15" t="s">
        <v>85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7"/>
      <c r="X54" s="17"/>
      <c r="Y54" s="17"/>
      <c r="Z54" s="17"/>
    </row>
    <row r="55" ht="15.75" customHeight="1">
      <c r="A55" s="15" t="s">
        <v>268</v>
      </c>
      <c r="B55" s="15" t="s">
        <v>324</v>
      </c>
      <c r="C55" s="15" t="s">
        <v>324</v>
      </c>
      <c r="D55" s="15" t="s">
        <v>348</v>
      </c>
      <c r="E55" s="22" t="s">
        <v>325</v>
      </c>
      <c r="F55" s="22" t="s">
        <v>278</v>
      </c>
      <c r="G55" s="15" t="s">
        <v>52</v>
      </c>
      <c r="H55" s="15" t="s">
        <v>273</v>
      </c>
      <c r="I55" s="15" t="s">
        <v>41</v>
      </c>
      <c r="J55" s="15" t="s">
        <v>274</v>
      </c>
      <c r="K55" s="15" t="s">
        <v>85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7"/>
      <c r="X55" s="17"/>
      <c r="Y55" s="17"/>
      <c r="Z55" s="17"/>
    </row>
    <row r="56" ht="15.75" customHeight="1">
      <c r="A56" s="15" t="s">
        <v>268</v>
      </c>
      <c r="B56" s="15" t="s">
        <v>331</v>
      </c>
      <c r="C56" s="15" t="s">
        <v>331</v>
      </c>
      <c r="D56" s="15" t="s">
        <v>348</v>
      </c>
      <c r="E56" s="22" t="s">
        <v>332</v>
      </c>
      <c r="F56" s="22" t="s">
        <v>278</v>
      </c>
      <c r="G56" s="15" t="s">
        <v>52</v>
      </c>
      <c r="H56" s="15" t="s">
        <v>273</v>
      </c>
      <c r="I56" s="15" t="s">
        <v>41</v>
      </c>
      <c r="J56" s="15" t="s">
        <v>274</v>
      </c>
      <c r="K56" s="15" t="s">
        <v>85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7"/>
      <c r="X56" s="17"/>
      <c r="Y56" s="17"/>
      <c r="Z56" s="17"/>
    </row>
    <row r="57" ht="15.75" customHeight="1">
      <c r="A57" s="15" t="s">
        <v>356</v>
      </c>
      <c r="B57" s="15" t="s">
        <v>358</v>
      </c>
      <c r="C57" s="15" t="s">
        <v>360</v>
      </c>
      <c r="D57" s="15" t="s">
        <v>361</v>
      </c>
      <c r="E57" s="15" t="s">
        <v>358</v>
      </c>
      <c r="F57" s="15" t="s">
        <v>38</v>
      </c>
      <c r="G57" s="15" t="s">
        <v>52</v>
      </c>
      <c r="H57" s="20" t="s">
        <v>364</v>
      </c>
      <c r="I57" s="20" t="s">
        <v>221</v>
      </c>
      <c r="J57" s="15" t="s">
        <v>222</v>
      </c>
      <c r="K57" s="15" t="s">
        <v>223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7"/>
      <c r="X57" s="17"/>
      <c r="Y57" s="17"/>
      <c r="Z57" s="17"/>
    </row>
    <row r="58" ht="15.75" customHeight="1">
      <c r="A58" s="15" t="s">
        <v>370</v>
      </c>
      <c r="B58" s="15" t="s">
        <v>371</v>
      </c>
      <c r="C58" s="15" t="s">
        <v>372</v>
      </c>
      <c r="D58" s="15" t="s">
        <v>373</v>
      </c>
      <c r="E58" s="15" t="s">
        <v>371</v>
      </c>
      <c r="F58" s="15" t="s">
        <v>38</v>
      </c>
      <c r="G58" s="15" t="s">
        <v>374</v>
      </c>
      <c r="H58" s="20" t="s">
        <v>375</v>
      </c>
      <c r="I58" s="20" t="s">
        <v>221</v>
      </c>
      <c r="J58" s="15" t="s">
        <v>222</v>
      </c>
      <c r="K58" s="15" t="s">
        <v>223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7"/>
      <c r="X58" s="17"/>
      <c r="Y58" s="17"/>
      <c r="Z58" s="17"/>
    </row>
    <row r="59" ht="15.75" customHeight="1">
      <c r="A59" s="15" t="s">
        <v>376</v>
      </c>
      <c r="B59" s="15" t="s">
        <v>89</v>
      </c>
      <c r="C59" s="15" t="s">
        <v>91</v>
      </c>
      <c r="D59" s="15" t="s">
        <v>378</v>
      </c>
      <c r="E59" s="15" t="s">
        <v>381</v>
      </c>
      <c r="F59" s="15" t="s">
        <v>94</v>
      </c>
      <c r="G59" s="15" t="s">
        <v>91</v>
      </c>
      <c r="H59" s="15" t="s">
        <v>383</v>
      </c>
      <c r="I59" s="15" t="s">
        <v>41</v>
      </c>
      <c r="J59" s="15" t="s">
        <v>384</v>
      </c>
      <c r="K59" s="15" t="s">
        <v>98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7"/>
      <c r="X59" s="17"/>
      <c r="Y59" s="17"/>
      <c r="Z59" s="17"/>
    </row>
    <row r="60" ht="15.75" customHeight="1">
      <c r="A60" s="15" t="s">
        <v>376</v>
      </c>
      <c r="B60" s="15" t="s">
        <v>89</v>
      </c>
      <c r="C60" s="15" t="s">
        <v>91</v>
      </c>
      <c r="D60" s="15" t="s">
        <v>385</v>
      </c>
      <c r="E60" s="15" t="s">
        <v>386</v>
      </c>
      <c r="F60" s="15" t="s">
        <v>94</v>
      </c>
      <c r="G60" s="15" t="s">
        <v>91</v>
      </c>
      <c r="H60" s="15" t="s">
        <v>388</v>
      </c>
      <c r="I60" s="15" t="s">
        <v>41</v>
      </c>
      <c r="J60" s="15" t="s">
        <v>389</v>
      </c>
      <c r="K60" s="15" t="s">
        <v>98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7"/>
      <c r="X60" s="17"/>
      <c r="Y60" s="17"/>
      <c r="Z60" s="17"/>
    </row>
    <row r="61" ht="15.75" customHeight="1">
      <c r="A61" s="15" t="s">
        <v>376</v>
      </c>
      <c r="B61" s="15" t="s">
        <v>89</v>
      </c>
      <c r="C61" s="15" t="s">
        <v>91</v>
      </c>
      <c r="D61" s="15" t="s">
        <v>391</v>
      </c>
      <c r="E61" s="15" t="s">
        <v>392</v>
      </c>
      <c r="F61" s="15" t="s">
        <v>94</v>
      </c>
      <c r="G61" s="15" t="s">
        <v>91</v>
      </c>
      <c r="H61" s="15" t="s">
        <v>393</v>
      </c>
      <c r="I61" s="15" t="s">
        <v>41</v>
      </c>
      <c r="J61" s="15" t="s">
        <v>394</v>
      </c>
      <c r="K61" s="15" t="s">
        <v>98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7"/>
      <c r="X61" s="17"/>
      <c r="Y61" s="17"/>
      <c r="Z61" s="17"/>
    </row>
    <row r="62" ht="15.75" customHeight="1">
      <c r="A62" s="15" t="s">
        <v>376</v>
      </c>
      <c r="B62" s="15" t="s">
        <v>89</v>
      </c>
      <c r="C62" s="15" t="s">
        <v>91</v>
      </c>
      <c r="D62" s="15" t="s">
        <v>395</v>
      </c>
      <c r="E62" s="15" t="s">
        <v>396</v>
      </c>
      <c r="F62" s="15" t="s">
        <v>94</v>
      </c>
      <c r="G62" s="15" t="s">
        <v>91</v>
      </c>
      <c r="H62" s="15" t="s">
        <v>397</v>
      </c>
      <c r="I62" s="15" t="s">
        <v>41</v>
      </c>
      <c r="J62" s="15" t="s">
        <v>398</v>
      </c>
      <c r="K62" s="15" t="s">
        <v>98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7"/>
      <c r="X62" s="17"/>
      <c r="Y62" s="17"/>
      <c r="Z62" s="17"/>
    </row>
    <row r="63" ht="15.75" customHeight="1">
      <c r="A63" s="15" t="s">
        <v>376</v>
      </c>
      <c r="B63" s="15" t="s">
        <v>89</v>
      </c>
      <c r="C63" s="15" t="s">
        <v>91</v>
      </c>
      <c r="D63" s="15" t="s">
        <v>401</v>
      </c>
      <c r="E63" s="15" t="s">
        <v>402</v>
      </c>
      <c r="F63" s="15" t="s">
        <v>94</v>
      </c>
      <c r="G63" s="15" t="s">
        <v>91</v>
      </c>
      <c r="H63" s="15" t="s">
        <v>403</v>
      </c>
      <c r="I63" s="15" t="s">
        <v>41</v>
      </c>
      <c r="J63" s="15" t="s">
        <v>404</v>
      </c>
      <c r="K63" s="15" t="s">
        <v>98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7"/>
      <c r="X63" s="17"/>
      <c r="Y63" s="17"/>
      <c r="Z63" s="17"/>
    </row>
    <row r="64" ht="15.75" customHeight="1">
      <c r="A64" s="15" t="s">
        <v>340</v>
      </c>
      <c r="B64" s="15" t="s">
        <v>342</v>
      </c>
      <c r="C64" s="15" t="s">
        <v>342</v>
      </c>
      <c r="D64" s="15" t="s">
        <v>407</v>
      </c>
      <c r="E64" s="22" t="s">
        <v>343</v>
      </c>
      <c r="F64" s="22" t="s">
        <v>278</v>
      </c>
      <c r="G64" s="15" t="s">
        <v>52</v>
      </c>
      <c r="H64" s="15" t="s">
        <v>346</v>
      </c>
      <c r="I64" s="15" t="s">
        <v>41</v>
      </c>
      <c r="J64" s="15" t="s">
        <v>347</v>
      </c>
      <c r="K64" s="15" t="s">
        <v>85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7"/>
      <c r="X64" s="17"/>
      <c r="Y64" s="17"/>
      <c r="Z64" s="17"/>
    </row>
    <row r="65" ht="15.75" customHeight="1">
      <c r="A65" s="15" t="s">
        <v>340</v>
      </c>
      <c r="B65" s="15" t="s">
        <v>89</v>
      </c>
      <c r="C65" s="15" t="s">
        <v>91</v>
      </c>
      <c r="D65" s="15" t="s">
        <v>412</v>
      </c>
      <c r="E65" s="15" t="s">
        <v>184</v>
      </c>
      <c r="F65" s="15" t="s">
        <v>94</v>
      </c>
      <c r="G65" s="15" t="s">
        <v>91</v>
      </c>
      <c r="H65" s="15" t="s">
        <v>186</v>
      </c>
      <c r="I65" s="15" t="s">
        <v>41</v>
      </c>
      <c r="J65" s="15" t="s">
        <v>180</v>
      </c>
      <c r="K65" s="15" t="s">
        <v>98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7"/>
      <c r="X65" s="17"/>
      <c r="Y65" s="17"/>
      <c r="Z65" s="17"/>
    </row>
    <row r="66" ht="15.75" customHeight="1">
      <c r="A66" s="15" t="s">
        <v>340</v>
      </c>
      <c r="B66" s="15" t="s">
        <v>377</v>
      </c>
      <c r="C66" s="15" t="s">
        <v>379</v>
      </c>
      <c r="D66" s="15" t="s">
        <v>377</v>
      </c>
      <c r="E66" s="15" t="s">
        <v>226</v>
      </c>
      <c r="F66" s="15" t="s">
        <v>38</v>
      </c>
      <c r="G66" s="15" t="s">
        <v>387</v>
      </c>
      <c r="H66" s="15" t="s">
        <v>237</v>
      </c>
      <c r="I66" s="15" t="s">
        <v>41</v>
      </c>
      <c r="J66" s="15" t="s">
        <v>224</v>
      </c>
      <c r="K66" s="15" t="s">
        <v>85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7"/>
      <c r="X66" s="17"/>
      <c r="Y66" s="17"/>
      <c r="Z66" s="17"/>
    </row>
    <row r="67" ht="15.75" customHeight="1">
      <c r="A67" s="15" t="s">
        <v>340</v>
      </c>
      <c r="B67" s="15" t="s">
        <v>399</v>
      </c>
      <c r="C67" s="15" t="s">
        <v>400</v>
      </c>
      <c r="D67" s="15" t="s">
        <v>399</v>
      </c>
      <c r="E67" s="15" t="s">
        <v>158</v>
      </c>
      <c r="F67" s="15" t="s">
        <v>38</v>
      </c>
      <c r="G67" s="15" t="s">
        <v>405</v>
      </c>
      <c r="H67" s="15" t="s">
        <v>168</v>
      </c>
      <c r="I67" s="15" t="s">
        <v>41</v>
      </c>
      <c r="J67" s="15" t="s">
        <v>156</v>
      </c>
      <c r="K67" s="15" t="s">
        <v>85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7"/>
      <c r="X67" s="17"/>
      <c r="Y67" s="17"/>
      <c r="Z67" s="17"/>
    </row>
    <row r="68" ht="15.75" customHeight="1">
      <c r="A68" s="15" t="s">
        <v>340</v>
      </c>
      <c r="B68" s="15" t="s">
        <v>411</v>
      </c>
      <c r="C68" s="15" t="s">
        <v>411</v>
      </c>
      <c r="D68" s="15" t="s">
        <v>399</v>
      </c>
      <c r="E68" s="22" t="s">
        <v>413</v>
      </c>
      <c r="F68" s="22" t="s">
        <v>278</v>
      </c>
      <c r="G68" s="15" t="s">
        <v>405</v>
      </c>
      <c r="H68" s="15" t="s">
        <v>168</v>
      </c>
      <c r="I68" s="15" t="s">
        <v>41</v>
      </c>
      <c r="J68" s="15" t="s">
        <v>156</v>
      </c>
      <c r="K68" s="15" t="s">
        <v>85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7"/>
      <c r="X68" s="17"/>
      <c r="Y68" s="17"/>
      <c r="Z68" s="17"/>
    </row>
    <row r="69" ht="15.75" customHeight="1">
      <c r="A69" s="15" t="s">
        <v>340</v>
      </c>
      <c r="B69" s="15" t="s">
        <v>416</v>
      </c>
      <c r="C69" s="15" t="s">
        <v>416</v>
      </c>
      <c r="D69" s="15" t="s">
        <v>399</v>
      </c>
      <c r="E69" s="22" t="s">
        <v>418</v>
      </c>
      <c r="F69" s="22" t="s">
        <v>278</v>
      </c>
      <c r="G69" s="15" t="s">
        <v>405</v>
      </c>
      <c r="H69" s="15" t="s">
        <v>168</v>
      </c>
      <c r="I69" s="15" t="s">
        <v>41</v>
      </c>
      <c r="J69" s="15" t="s">
        <v>156</v>
      </c>
      <c r="K69" s="15" t="s">
        <v>85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7"/>
      <c r="X69" s="17"/>
      <c r="Y69" s="17"/>
      <c r="Z69" s="17"/>
    </row>
    <row r="70" ht="15.75" customHeight="1">
      <c r="A70" s="15" t="s">
        <v>340</v>
      </c>
      <c r="B70" s="15" t="s">
        <v>423</v>
      </c>
      <c r="C70" s="15" t="s">
        <v>423</v>
      </c>
      <c r="D70" s="15" t="s">
        <v>399</v>
      </c>
      <c r="E70" s="22" t="s">
        <v>424</v>
      </c>
      <c r="F70" s="22" t="s">
        <v>278</v>
      </c>
      <c r="G70" s="15" t="s">
        <v>405</v>
      </c>
      <c r="H70" s="15" t="s">
        <v>168</v>
      </c>
      <c r="I70" s="15" t="s">
        <v>41</v>
      </c>
      <c r="J70" s="15" t="s">
        <v>156</v>
      </c>
      <c r="K70" s="15" t="s">
        <v>85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7"/>
      <c r="X70" s="17"/>
      <c r="Y70" s="17"/>
      <c r="Z70" s="17"/>
    </row>
    <row r="71" ht="15.75" customHeight="1">
      <c r="A71" s="15" t="s">
        <v>340</v>
      </c>
      <c r="B71" s="15" t="s">
        <v>426</v>
      </c>
      <c r="C71" s="15" t="s">
        <v>426</v>
      </c>
      <c r="D71" s="15" t="s">
        <v>399</v>
      </c>
      <c r="E71" s="22" t="s">
        <v>427</v>
      </c>
      <c r="F71" s="22" t="s">
        <v>278</v>
      </c>
      <c r="G71" s="15" t="s">
        <v>405</v>
      </c>
      <c r="H71" s="15" t="s">
        <v>168</v>
      </c>
      <c r="I71" s="15" t="s">
        <v>41</v>
      </c>
      <c r="J71" s="15" t="s">
        <v>156</v>
      </c>
      <c r="K71" s="15" t="s">
        <v>85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7"/>
      <c r="X71" s="17"/>
      <c r="Y71" s="17"/>
      <c r="Z71" s="17"/>
    </row>
    <row r="72" ht="15.75" customHeight="1">
      <c r="A72" s="15" t="s">
        <v>340</v>
      </c>
      <c r="B72" s="15" t="s">
        <v>431</v>
      </c>
      <c r="C72" s="15" t="s">
        <v>431</v>
      </c>
      <c r="D72" s="15" t="s">
        <v>399</v>
      </c>
      <c r="E72" s="22" t="s">
        <v>432</v>
      </c>
      <c r="F72" s="22" t="s">
        <v>278</v>
      </c>
      <c r="G72" s="15" t="s">
        <v>405</v>
      </c>
      <c r="H72" s="15" t="s">
        <v>168</v>
      </c>
      <c r="I72" s="15" t="s">
        <v>41</v>
      </c>
      <c r="J72" s="15" t="s">
        <v>156</v>
      </c>
      <c r="K72" s="15" t="s">
        <v>85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7"/>
      <c r="X72" s="17"/>
      <c r="Y72" s="17"/>
      <c r="Z72" s="17"/>
    </row>
    <row r="73" ht="15.75" customHeight="1">
      <c r="A73" s="15" t="s">
        <v>340</v>
      </c>
      <c r="B73" s="15" t="s">
        <v>434</v>
      </c>
      <c r="C73" s="15" t="s">
        <v>434</v>
      </c>
      <c r="D73" s="15" t="s">
        <v>399</v>
      </c>
      <c r="E73" s="22" t="s">
        <v>435</v>
      </c>
      <c r="F73" s="22" t="s">
        <v>278</v>
      </c>
      <c r="G73" s="15" t="s">
        <v>405</v>
      </c>
      <c r="H73" s="15" t="s">
        <v>168</v>
      </c>
      <c r="I73" s="15" t="s">
        <v>41</v>
      </c>
      <c r="J73" s="15" t="s">
        <v>156</v>
      </c>
      <c r="K73" s="15" t="s">
        <v>85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7"/>
      <c r="X73" s="17"/>
      <c r="Y73" s="17"/>
      <c r="Z73" s="17"/>
    </row>
    <row r="74" ht="15.75" customHeight="1">
      <c r="A74" s="15" t="s">
        <v>340</v>
      </c>
      <c r="B74" s="15" t="s">
        <v>438</v>
      </c>
      <c r="C74" s="15" t="s">
        <v>438</v>
      </c>
      <c r="D74" s="15" t="s">
        <v>399</v>
      </c>
      <c r="E74" s="22" t="s">
        <v>435</v>
      </c>
      <c r="F74" s="22" t="s">
        <v>278</v>
      </c>
      <c r="G74" s="15" t="s">
        <v>405</v>
      </c>
      <c r="H74" s="15" t="s">
        <v>168</v>
      </c>
      <c r="I74" s="15" t="s">
        <v>41</v>
      </c>
      <c r="J74" s="15" t="s">
        <v>156</v>
      </c>
      <c r="K74" s="15" t="s">
        <v>85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7"/>
      <c r="X74" s="17"/>
      <c r="Y74" s="17"/>
      <c r="Z74" s="17"/>
    </row>
    <row r="75" ht="15.75" customHeight="1">
      <c r="A75" s="15" t="s">
        <v>340</v>
      </c>
      <c r="B75" s="15" t="s">
        <v>441</v>
      </c>
      <c r="C75" s="15" t="s">
        <v>441</v>
      </c>
      <c r="D75" s="15" t="s">
        <v>399</v>
      </c>
      <c r="E75" s="22" t="s">
        <v>442</v>
      </c>
      <c r="F75" s="22" t="s">
        <v>278</v>
      </c>
      <c r="G75" s="15" t="s">
        <v>405</v>
      </c>
      <c r="H75" s="15" t="s">
        <v>168</v>
      </c>
      <c r="I75" s="15" t="s">
        <v>41</v>
      </c>
      <c r="J75" s="15" t="s">
        <v>156</v>
      </c>
      <c r="K75" s="15" t="s">
        <v>85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7"/>
      <c r="X75" s="17"/>
      <c r="Y75" s="17"/>
      <c r="Z75" s="17"/>
    </row>
    <row r="76" ht="15.75" customHeight="1">
      <c r="A76" s="15" t="s">
        <v>340</v>
      </c>
      <c r="B76" s="15" t="s">
        <v>443</v>
      </c>
      <c r="C76" s="15" t="s">
        <v>443</v>
      </c>
      <c r="D76" s="15" t="s">
        <v>399</v>
      </c>
      <c r="E76" s="22" t="s">
        <v>444</v>
      </c>
      <c r="F76" s="22" t="s">
        <v>278</v>
      </c>
      <c r="G76" s="15" t="s">
        <v>405</v>
      </c>
      <c r="H76" s="15" t="s">
        <v>168</v>
      </c>
      <c r="I76" s="15" t="s">
        <v>41</v>
      </c>
      <c r="J76" s="15" t="s">
        <v>156</v>
      </c>
      <c r="K76" s="15" t="s">
        <v>85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7"/>
      <c r="X76" s="17"/>
      <c r="Y76" s="17"/>
      <c r="Z76" s="17"/>
    </row>
    <row r="77" ht="15.75" customHeight="1">
      <c r="A77" s="15" t="s">
        <v>340</v>
      </c>
      <c r="B77" s="15" t="s">
        <v>448</v>
      </c>
      <c r="C77" s="15" t="s">
        <v>448</v>
      </c>
      <c r="D77" s="15" t="s">
        <v>399</v>
      </c>
      <c r="E77" s="22" t="s">
        <v>444</v>
      </c>
      <c r="F77" s="22" t="s">
        <v>278</v>
      </c>
      <c r="G77" s="15" t="s">
        <v>405</v>
      </c>
      <c r="H77" s="15" t="s">
        <v>168</v>
      </c>
      <c r="I77" s="15" t="s">
        <v>41</v>
      </c>
      <c r="J77" s="15" t="s">
        <v>156</v>
      </c>
      <c r="K77" s="15" t="s">
        <v>85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7"/>
      <c r="X77" s="17"/>
      <c r="Y77" s="17"/>
      <c r="Z77" s="17"/>
    </row>
    <row r="78" ht="15.75" customHeight="1">
      <c r="A78" s="15" t="s">
        <v>340</v>
      </c>
      <c r="B78" s="15" t="s">
        <v>449</v>
      </c>
      <c r="C78" s="15" t="s">
        <v>449</v>
      </c>
      <c r="D78" s="15" t="s">
        <v>399</v>
      </c>
      <c r="E78" s="22" t="s">
        <v>450</v>
      </c>
      <c r="F78" s="22" t="s">
        <v>278</v>
      </c>
      <c r="G78" s="15" t="s">
        <v>405</v>
      </c>
      <c r="H78" s="15" t="s">
        <v>168</v>
      </c>
      <c r="I78" s="15" t="s">
        <v>41</v>
      </c>
      <c r="J78" s="15" t="s">
        <v>156</v>
      </c>
      <c r="K78" s="15" t="s">
        <v>85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7"/>
      <c r="X78" s="17"/>
      <c r="Y78" s="17"/>
      <c r="Z78" s="17"/>
    </row>
    <row r="79" ht="15.75" customHeight="1">
      <c r="A79" s="15" t="s">
        <v>340</v>
      </c>
      <c r="B79" s="15" t="s">
        <v>452</v>
      </c>
      <c r="C79" s="15" t="s">
        <v>452</v>
      </c>
      <c r="D79" s="15" t="s">
        <v>399</v>
      </c>
      <c r="E79" s="22" t="s">
        <v>453</v>
      </c>
      <c r="F79" s="22" t="s">
        <v>278</v>
      </c>
      <c r="G79" s="15" t="s">
        <v>405</v>
      </c>
      <c r="H79" s="15" t="s">
        <v>168</v>
      </c>
      <c r="I79" s="15" t="s">
        <v>41</v>
      </c>
      <c r="J79" s="15" t="s">
        <v>156</v>
      </c>
      <c r="K79" s="15" t="s">
        <v>85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7"/>
      <c r="X79" s="17"/>
      <c r="Y79" s="17"/>
      <c r="Z79" s="17"/>
    </row>
    <row r="80" ht="15.75" customHeight="1">
      <c r="A80" s="15" t="s">
        <v>340</v>
      </c>
      <c r="B80" s="15" t="s">
        <v>455</v>
      </c>
      <c r="C80" s="15" t="s">
        <v>455</v>
      </c>
      <c r="D80" s="15" t="s">
        <v>399</v>
      </c>
      <c r="E80" s="22" t="s">
        <v>456</v>
      </c>
      <c r="F80" s="22" t="s">
        <v>278</v>
      </c>
      <c r="G80" s="15" t="s">
        <v>405</v>
      </c>
      <c r="H80" s="15" t="s">
        <v>168</v>
      </c>
      <c r="I80" s="15" t="s">
        <v>41</v>
      </c>
      <c r="J80" s="15" t="s">
        <v>156</v>
      </c>
      <c r="K80" s="15" t="s">
        <v>85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7"/>
      <c r="X80" s="17"/>
      <c r="Y80" s="17"/>
      <c r="Z80" s="17"/>
    </row>
    <row r="81" ht="15.75" customHeight="1">
      <c r="A81" s="15" t="s">
        <v>340</v>
      </c>
      <c r="B81" s="15" t="s">
        <v>457</v>
      </c>
      <c r="C81" s="15" t="s">
        <v>457</v>
      </c>
      <c r="D81" s="15" t="s">
        <v>399</v>
      </c>
      <c r="E81" s="22" t="s">
        <v>458</v>
      </c>
      <c r="F81" s="22" t="s">
        <v>278</v>
      </c>
      <c r="G81" s="15" t="s">
        <v>405</v>
      </c>
      <c r="H81" s="15" t="s">
        <v>168</v>
      </c>
      <c r="I81" s="15" t="s">
        <v>41</v>
      </c>
      <c r="J81" s="15" t="s">
        <v>156</v>
      </c>
      <c r="K81" s="15" t="s">
        <v>85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7"/>
      <c r="X81" s="17"/>
      <c r="Y81" s="17"/>
      <c r="Z81" s="17"/>
    </row>
    <row r="82" ht="15.75" customHeight="1">
      <c r="A82" s="15" t="s">
        <v>340</v>
      </c>
      <c r="B82" s="15" t="s">
        <v>460</v>
      </c>
      <c r="C82" s="15" t="s">
        <v>460</v>
      </c>
      <c r="D82" s="15" t="s">
        <v>399</v>
      </c>
      <c r="E82" s="22" t="s">
        <v>461</v>
      </c>
      <c r="F82" s="22" t="s">
        <v>278</v>
      </c>
      <c r="G82" s="15" t="s">
        <v>405</v>
      </c>
      <c r="H82" s="15" t="s">
        <v>168</v>
      </c>
      <c r="I82" s="15" t="s">
        <v>41</v>
      </c>
      <c r="J82" s="15" t="s">
        <v>156</v>
      </c>
      <c r="K82" s="15" t="s">
        <v>85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7"/>
      <c r="X82" s="17"/>
      <c r="Y82" s="17"/>
      <c r="Z82" s="17"/>
    </row>
    <row r="83" ht="15.75" customHeight="1">
      <c r="A83" s="15" t="s">
        <v>340</v>
      </c>
      <c r="B83" s="15" t="s">
        <v>463</v>
      </c>
      <c r="C83" s="15" t="s">
        <v>463</v>
      </c>
      <c r="D83" s="15" t="s">
        <v>399</v>
      </c>
      <c r="E83" s="22" t="s">
        <v>465</v>
      </c>
      <c r="F83" s="22" t="s">
        <v>278</v>
      </c>
      <c r="G83" s="15" t="s">
        <v>405</v>
      </c>
      <c r="H83" s="15" t="s">
        <v>168</v>
      </c>
      <c r="I83" s="15" t="s">
        <v>41</v>
      </c>
      <c r="J83" s="15" t="s">
        <v>156</v>
      </c>
      <c r="K83" s="15" t="s">
        <v>85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7"/>
      <c r="X83" s="17"/>
      <c r="Y83" s="17"/>
      <c r="Z83" s="17"/>
    </row>
    <row r="84" ht="15.75" customHeight="1">
      <c r="A84" s="15" t="s">
        <v>340</v>
      </c>
      <c r="B84" s="15" t="s">
        <v>466</v>
      </c>
      <c r="C84" s="15" t="s">
        <v>466</v>
      </c>
      <c r="D84" s="15" t="s">
        <v>399</v>
      </c>
      <c r="E84" s="22" t="s">
        <v>467</v>
      </c>
      <c r="F84" s="22" t="s">
        <v>278</v>
      </c>
      <c r="G84" s="15" t="s">
        <v>405</v>
      </c>
      <c r="H84" s="15" t="s">
        <v>168</v>
      </c>
      <c r="I84" s="15" t="s">
        <v>41</v>
      </c>
      <c r="J84" s="15" t="s">
        <v>156</v>
      </c>
      <c r="K84" s="15" t="s">
        <v>85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7"/>
      <c r="X84" s="17"/>
      <c r="Y84" s="17"/>
      <c r="Z84" s="17"/>
    </row>
    <row r="85" ht="15.75" customHeight="1">
      <c r="A85" s="15" t="s">
        <v>340</v>
      </c>
      <c r="B85" s="15" t="s">
        <v>471</v>
      </c>
      <c r="C85" s="15" t="s">
        <v>471</v>
      </c>
      <c r="D85" s="15" t="s">
        <v>399</v>
      </c>
      <c r="E85" s="22" t="s">
        <v>472</v>
      </c>
      <c r="F85" s="22" t="s">
        <v>278</v>
      </c>
      <c r="G85" s="15" t="s">
        <v>405</v>
      </c>
      <c r="H85" s="15" t="s">
        <v>168</v>
      </c>
      <c r="I85" s="15" t="s">
        <v>41</v>
      </c>
      <c r="J85" s="15" t="s">
        <v>156</v>
      </c>
      <c r="K85" s="15" t="s">
        <v>85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7"/>
      <c r="X85" s="17"/>
      <c r="Y85" s="17"/>
      <c r="Z85" s="17"/>
    </row>
    <row r="86" ht="15.75" customHeight="1">
      <c r="A86" s="24" t="s">
        <v>473</v>
      </c>
      <c r="B86" s="24" t="s">
        <v>475</v>
      </c>
      <c r="C86" s="15" t="s">
        <v>476</v>
      </c>
      <c r="D86" s="24" t="s">
        <v>475</v>
      </c>
      <c r="E86" s="24" t="s">
        <v>477</v>
      </c>
      <c r="F86" s="24" t="s">
        <v>38</v>
      </c>
      <c r="G86" s="15" t="s">
        <v>478</v>
      </c>
      <c r="H86" s="20" t="s">
        <v>479</v>
      </c>
      <c r="I86" s="20" t="s">
        <v>221</v>
      </c>
      <c r="J86" s="15" t="s">
        <v>222</v>
      </c>
      <c r="K86" s="15" t="s">
        <v>223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7"/>
      <c r="X86" s="17"/>
      <c r="Y86" s="17"/>
      <c r="Z86" s="17"/>
    </row>
    <row r="87" ht="15.75" customHeight="1">
      <c r="A87" s="24" t="s">
        <v>483</v>
      </c>
      <c r="B87" s="24" t="s">
        <v>484</v>
      </c>
      <c r="C87" s="15" t="s">
        <v>485</v>
      </c>
      <c r="D87" s="24" t="s">
        <v>486</v>
      </c>
      <c r="E87" s="24" t="s">
        <v>484</v>
      </c>
      <c r="F87" s="24" t="s">
        <v>38</v>
      </c>
      <c r="G87" s="15" t="s">
        <v>52</v>
      </c>
      <c r="H87" s="20" t="s">
        <v>487</v>
      </c>
      <c r="I87" s="20" t="s">
        <v>221</v>
      </c>
      <c r="J87" s="15" t="s">
        <v>222</v>
      </c>
      <c r="K87" s="15" t="s">
        <v>223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7"/>
      <c r="X87" s="17"/>
      <c r="Y87" s="17"/>
      <c r="Z87" s="17"/>
    </row>
    <row r="88" ht="15.75" customHeight="1">
      <c r="A88" s="24" t="s">
        <v>340</v>
      </c>
      <c r="B88" s="24" t="s">
        <v>489</v>
      </c>
      <c r="C88" s="15" t="s">
        <v>490</v>
      </c>
      <c r="D88" s="24" t="s">
        <v>491</v>
      </c>
      <c r="E88" s="24" t="s">
        <v>492</v>
      </c>
      <c r="F88" s="24" t="s">
        <v>38</v>
      </c>
      <c r="G88" s="15" t="s">
        <v>493</v>
      </c>
      <c r="H88" s="20" t="s">
        <v>494</v>
      </c>
      <c r="I88" s="20" t="s">
        <v>221</v>
      </c>
      <c r="J88" s="15" t="s">
        <v>222</v>
      </c>
      <c r="K88" s="15" t="s">
        <v>223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7"/>
      <c r="X88" s="17"/>
      <c r="Y88" s="17"/>
      <c r="Z88" s="17"/>
    </row>
    <row r="89" ht="15.75" customHeight="1">
      <c r="A89" s="24" t="s">
        <v>356</v>
      </c>
      <c r="B89" s="24" t="s">
        <v>497</v>
      </c>
      <c r="C89" s="15" t="s">
        <v>498</v>
      </c>
      <c r="D89" s="24" t="s">
        <v>497</v>
      </c>
      <c r="E89" s="24" t="s">
        <v>497</v>
      </c>
      <c r="F89" s="24" t="s">
        <v>38</v>
      </c>
      <c r="G89" s="15" t="s">
        <v>217</v>
      </c>
      <c r="H89" s="20" t="s">
        <v>499</v>
      </c>
      <c r="I89" s="20" t="s">
        <v>221</v>
      </c>
      <c r="J89" s="15" t="s">
        <v>222</v>
      </c>
      <c r="K89" s="15" t="s">
        <v>223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7"/>
      <c r="X89" s="17"/>
      <c r="Y89" s="17"/>
      <c r="Z89" s="17"/>
    </row>
    <row r="90" ht="15.75" customHeight="1">
      <c r="A90" s="24" t="s">
        <v>356</v>
      </c>
      <c r="B90" s="24" t="s">
        <v>500</v>
      </c>
      <c r="C90" s="15" t="s">
        <v>501</v>
      </c>
      <c r="D90" s="24" t="s">
        <v>500</v>
      </c>
      <c r="E90" s="24" t="s">
        <v>502</v>
      </c>
      <c r="F90" s="24" t="s">
        <v>38</v>
      </c>
      <c r="G90" s="15" t="s">
        <v>503</v>
      </c>
      <c r="H90" s="20" t="s">
        <v>504</v>
      </c>
      <c r="I90" s="20" t="s">
        <v>221</v>
      </c>
      <c r="J90" s="15" t="s">
        <v>222</v>
      </c>
      <c r="K90" s="15" t="s">
        <v>223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7"/>
      <c r="X90" s="17"/>
      <c r="Y90" s="17"/>
      <c r="Z90" s="17"/>
    </row>
    <row r="91" ht="15.75" customHeight="1">
      <c r="A91" s="24" t="s">
        <v>229</v>
      </c>
      <c r="B91" s="24" t="s">
        <v>508</v>
      </c>
      <c r="C91" s="15" t="s">
        <v>509</v>
      </c>
      <c r="D91" s="24" t="s">
        <v>510</v>
      </c>
      <c r="E91" s="24" t="s">
        <v>508</v>
      </c>
      <c r="F91" s="24" t="s">
        <v>38</v>
      </c>
      <c r="G91" s="15" t="s">
        <v>52</v>
      </c>
      <c r="H91" s="20" t="s">
        <v>511</v>
      </c>
      <c r="I91" s="20" t="s">
        <v>221</v>
      </c>
      <c r="J91" s="15" t="s">
        <v>222</v>
      </c>
      <c r="K91" s="15" t="s">
        <v>223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7"/>
      <c r="X91" s="17"/>
      <c r="Y91" s="17"/>
      <c r="Z91" s="17"/>
    </row>
    <row r="92" ht="15.75" customHeight="1">
      <c r="A92" s="24" t="s">
        <v>483</v>
      </c>
      <c r="B92" s="24" t="s">
        <v>513</v>
      </c>
      <c r="C92" s="15" t="s">
        <v>514</v>
      </c>
      <c r="D92" s="24" t="s">
        <v>515</v>
      </c>
      <c r="E92" s="24" t="s">
        <v>513</v>
      </c>
      <c r="F92" s="24" t="s">
        <v>38</v>
      </c>
      <c r="G92" s="15" t="s">
        <v>516</v>
      </c>
      <c r="H92" s="20" t="s">
        <v>517</v>
      </c>
      <c r="I92" s="20" t="s">
        <v>221</v>
      </c>
      <c r="J92" s="15" t="s">
        <v>222</v>
      </c>
      <c r="K92" s="15" t="s">
        <v>223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7"/>
      <c r="X92" s="17"/>
      <c r="Y92" s="17"/>
      <c r="Z92" s="17"/>
    </row>
    <row r="93" ht="15.75" customHeight="1">
      <c r="A93" s="24" t="s">
        <v>370</v>
      </c>
      <c r="B93" s="24" t="s">
        <v>519</v>
      </c>
      <c r="C93" s="15" t="s">
        <v>520</v>
      </c>
      <c r="D93" s="24" t="s">
        <v>521</v>
      </c>
      <c r="E93" s="24" t="s">
        <v>519</v>
      </c>
      <c r="F93" s="24" t="s">
        <v>38</v>
      </c>
      <c r="G93" s="15" t="s">
        <v>52</v>
      </c>
      <c r="H93" s="20" t="s">
        <v>522</v>
      </c>
      <c r="I93" s="20" t="s">
        <v>221</v>
      </c>
      <c r="J93" s="15" t="s">
        <v>222</v>
      </c>
      <c r="K93" s="15" t="s">
        <v>223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7"/>
      <c r="X93" s="17"/>
      <c r="Y93" s="17"/>
      <c r="Z93" s="17"/>
    </row>
    <row r="94" ht="15.75" customHeight="1">
      <c r="A94" s="24" t="s">
        <v>370</v>
      </c>
      <c r="B94" s="24" t="s">
        <v>523</v>
      </c>
      <c r="C94" s="15" t="s">
        <v>525</v>
      </c>
      <c r="D94" s="24" t="s">
        <v>521</v>
      </c>
      <c r="E94" s="24" t="s">
        <v>528</v>
      </c>
      <c r="F94" s="24" t="s">
        <v>38</v>
      </c>
      <c r="G94" s="15" t="s">
        <v>529</v>
      </c>
      <c r="H94" s="20" t="s">
        <v>522</v>
      </c>
      <c r="I94" s="20" t="s">
        <v>221</v>
      </c>
      <c r="J94" s="15" t="s">
        <v>222</v>
      </c>
      <c r="K94" s="15" t="s">
        <v>223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7"/>
      <c r="X94" s="17"/>
      <c r="Y94" s="17"/>
      <c r="Z94" s="17"/>
    </row>
    <row r="95" ht="15.75" customHeight="1">
      <c r="A95" s="24" t="s">
        <v>370</v>
      </c>
      <c r="B95" s="24" t="s">
        <v>533</v>
      </c>
      <c r="C95" s="15" t="s">
        <v>534</v>
      </c>
      <c r="D95" s="24" t="s">
        <v>521</v>
      </c>
      <c r="E95" s="24" t="s">
        <v>535</v>
      </c>
      <c r="F95" s="24" t="s">
        <v>38</v>
      </c>
      <c r="G95" s="15" t="s">
        <v>52</v>
      </c>
      <c r="H95" s="20" t="s">
        <v>522</v>
      </c>
      <c r="I95" s="20" t="s">
        <v>221</v>
      </c>
      <c r="J95" s="15" t="s">
        <v>222</v>
      </c>
      <c r="K95" s="15" t="s">
        <v>223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7"/>
      <c r="X95" s="17"/>
      <c r="Y95" s="17"/>
      <c r="Z95" s="17"/>
    </row>
    <row r="96" ht="15.75" customHeight="1">
      <c r="A96" s="15" t="s">
        <v>539</v>
      </c>
      <c r="B96" s="15" t="s">
        <v>540</v>
      </c>
      <c r="C96" s="15" t="s">
        <v>541</v>
      </c>
      <c r="D96" s="15" t="s">
        <v>542</v>
      </c>
      <c r="E96" s="15" t="s">
        <v>540</v>
      </c>
      <c r="F96" s="15" t="s">
        <v>38</v>
      </c>
      <c r="G96" s="15" t="s">
        <v>52</v>
      </c>
      <c r="H96" s="15" t="s">
        <v>543</v>
      </c>
      <c r="I96" s="15" t="s">
        <v>41</v>
      </c>
      <c r="J96" s="15" t="s">
        <v>545</v>
      </c>
      <c r="K96" s="15" t="s">
        <v>85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7"/>
      <c r="X96" s="17"/>
      <c r="Y96" s="17"/>
      <c r="Z96" s="17"/>
    </row>
    <row r="97" ht="15.75" customHeight="1">
      <c r="A97" s="15" t="s">
        <v>547</v>
      </c>
      <c r="B97" s="15" t="s">
        <v>89</v>
      </c>
      <c r="C97" s="15" t="s">
        <v>91</v>
      </c>
      <c r="D97" s="15" t="s">
        <v>548</v>
      </c>
      <c r="E97" s="15" t="s">
        <v>549</v>
      </c>
      <c r="F97" s="15" t="s">
        <v>94</v>
      </c>
      <c r="G97" s="15" t="s">
        <v>91</v>
      </c>
      <c r="H97" s="15" t="s">
        <v>550</v>
      </c>
      <c r="I97" s="15" t="s">
        <v>41</v>
      </c>
      <c r="J97" s="15" t="s">
        <v>552</v>
      </c>
      <c r="K97" s="15" t="s">
        <v>98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7"/>
      <c r="X97" s="17"/>
      <c r="Y97" s="17"/>
      <c r="Z97" s="17"/>
    </row>
    <row r="98" ht="15.75" customHeight="1">
      <c r="A98" s="15" t="s">
        <v>547</v>
      </c>
      <c r="B98" s="15" t="s">
        <v>555</v>
      </c>
      <c r="C98" s="15" t="s">
        <v>556</v>
      </c>
      <c r="D98" s="15" t="s">
        <v>555</v>
      </c>
      <c r="E98" s="15" t="s">
        <v>557</v>
      </c>
      <c r="F98" s="15" t="s">
        <v>38</v>
      </c>
      <c r="G98" s="15" t="s">
        <v>558</v>
      </c>
      <c r="H98" s="15" t="s">
        <v>559</v>
      </c>
      <c r="I98" s="15" t="s">
        <v>41</v>
      </c>
      <c r="J98" s="15" t="s">
        <v>560</v>
      </c>
      <c r="K98" s="15" t="s">
        <v>223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7"/>
      <c r="X98" s="17"/>
      <c r="Y98" s="17"/>
      <c r="Z98" s="17"/>
    </row>
    <row r="99" ht="15.75" customHeight="1">
      <c r="A99" s="15" t="s">
        <v>547</v>
      </c>
      <c r="B99" s="15" t="s">
        <v>89</v>
      </c>
      <c r="C99" s="15" t="s">
        <v>91</v>
      </c>
      <c r="D99" s="15" t="s">
        <v>555</v>
      </c>
      <c r="E99" s="15" t="s">
        <v>557</v>
      </c>
      <c r="F99" s="15" t="s">
        <v>94</v>
      </c>
      <c r="G99" s="15" t="s">
        <v>91</v>
      </c>
      <c r="H99" s="15" t="s">
        <v>562</v>
      </c>
      <c r="I99" s="15" t="s">
        <v>41</v>
      </c>
      <c r="J99" s="15" t="s">
        <v>560</v>
      </c>
      <c r="K99" s="15" t="s">
        <v>98</v>
      </c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7"/>
      <c r="X99" s="17"/>
      <c r="Y99" s="17"/>
      <c r="Z99" s="17"/>
    </row>
    <row r="100" ht="15.75" customHeight="1">
      <c r="A100" s="15" t="s">
        <v>547</v>
      </c>
      <c r="B100" s="15" t="s">
        <v>566</v>
      </c>
      <c r="C100" s="15" t="s">
        <v>567</v>
      </c>
      <c r="D100" s="15" t="s">
        <v>566</v>
      </c>
      <c r="E100" s="15" t="s">
        <v>568</v>
      </c>
      <c r="F100" s="15" t="s">
        <v>38</v>
      </c>
      <c r="G100" s="15" t="s">
        <v>569</v>
      </c>
      <c r="H100" s="15" t="s">
        <v>570</v>
      </c>
      <c r="I100" s="15" t="s">
        <v>41</v>
      </c>
      <c r="J100" s="15" t="s">
        <v>571</v>
      </c>
      <c r="K100" s="15" t="s">
        <v>223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7"/>
      <c r="X100" s="17"/>
      <c r="Y100" s="17"/>
      <c r="Z100" s="17"/>
    </row>
    <row r="101" ht="15.75" customHeight="1">
      <c r="A101" s="15" t="s">
        <v>547</v>
      </c>
      <c r="B101" s="15" t="s">
        <v>89</v>
      </c>
      <c r="C101" s="15" t="s">
        <v>91</v>
      </c>
      <c r="D101" s="15" t="s">
        <v>566</v>
      </c>
      <c r="E101" s="15" t="s">
        <v>568</v>
      </c>
      <c r="F101" s="15" t="s">
        <v>94</v>
      </c>
      <c r="G101" s="15" t="s">
        <v>91</v>
      </c>
      <c r="H101" s="15" t="s">
        <v>573</v>
      </c>
      <c r="I101" s="15" t="s">
        <v>41</v>
      </c>
      <c r="J101" s="15" t="s">
        <v>571</v>
      </c>
      <c r="K101" s="15" t="s">
        <v>98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7"/>
      <c r="X101" s="17"/>
      <c r="Y101" s="17"/>
      <c r="Z101" s="17"/>
    </row>
    <row r="102" ht="15.75" customHeight="1">
      <c r="A102" s="15" t="s">
        <v>547</v>
      </c>
      <c r="B102" s="15" t="s">
        <v>574</v>
      </c>
      <c r="C102" s="15" t="s">
        <v>575</v>
      </c>
      <c r="D102" s="15" t="s">
        <v>574</v>
      </c>
      <c r="E102" s="15" t="s">
        <v>577</v>
      </c>
      <c r="F102" s="15" t="s">
        <v>38</v>
      </c>
      <c r="G102" s="15" t="s">
        <v>579</v>
      </c>
      <c r="H102" s="15" t="s">
        <v>580</v>
      </c>
      <c r="I102" s="15" t="s">
        <v>41</v>
      </c>
      <c r="J102" s="15" t="s">
        <v>581</v>
      </c>
      <c r="K102" s="15" t="s">
        <v>223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7"/>
      <c r="X102" s="17"/>
      <c r="Y102" s="17"/>
      <c r="Z102" s="17"/>
    </row>
    <row r="103" ht="15.75" customHeight="1">
      <c r="A103" s="15" t="s">
        <v>547</v>
      </c>
      <c r="B103" s="15" t="s">
        <v>89</v>
      </c>
      <c r="C103" s="15" t="s">
        <v>91</v>
      </c>
      <c r="D103" s="15" t="s">
        <v>574</v>
      </c>
      <c r="E103" s="15" t="s">
        <v>577</v>
      </c>
      <c r="F103" s="15" t="s">
        <v>94</v>
      </c>
      <c r="G103" s="15" t="s">
        <v>91</v>
      </c>
      <c r="H103" s="15" t="s">
        <v>584</v>
      </c>
      <c r="I103" s="15" t="s">
        <v>41</v>
      </c>
      <c r="J103" s="15" t="s">
        <v>581</v>
      </c>
      <c r="K103" s="15" t="s">
        <v>98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7"/>
      <c r="X103" s="17"/>
      <c r="Y103" s="17"/>
      <c r="Z103" s="17"/>
    </row>
    <row r="104" ht="15.75" customHeight="1">
      <c r="A104" s="15" t="s">
        <v>547</v>
      </c>
      <c r="B104" s="15" t="s">
        <v>589</v>
      </c>
      <c r="C104" s="15" t="s">
        <v>590</v>
      </c>
      <c r="D104" s="15" t="s">
        <v>589</v>
      </c>
      <c r="E104" s="15" t="s">
        <v>591</v>
      </c>
      <c r="F104" s="15" t="s">
        <v>38</v>
      </c>
      <c r="G104" s="15" t="s">
        <v>592</v>
      </c>
      <c r="H104" s="15" t="s">
        <v>593</v>
      </c>
      <c r="I104" s="15" t="s">
        <v>41</v>
      </c>
      <c r="J104" s="15" t="s">
        <v>594</v>
      </c>
      <c r="K104" s="15" t="s">
        <v>223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7"/>
      <c r="X104" s="17"/>
      <c r="Y104" s="17"/>
      <c r="Z104" s="17"/>
    </row>
    <row r="105" ht="15.75" customHeight="1">
      <c r="A105" s="15" t="s">
        <v>547</v>
      </c>
      <c r="B105" s="15" t="s">
        <v>89</v>
      </c>
      <c r="C105" s="15" t="s">
        <v>91</v>
      </c>
      <c r="D105" s="15" t="s">
        <v>589</v>
      </c>
      <c r="E105" s="15" t="s">
        <v>591</v>
      </c>
      <c r="F105" s="15" t="s">
        <v>94</v>
      </c>
      <c r="G105" s="15" t="s">
        <v>91</v>
      </c>
      <c r="H105" s="15" t="s">
        <v>597</v>
      </c>
      <c r="I105" s="15" t="s">
        <v>41</v>
      </c>
      <c r="J105" s="15" t="s">
        <v>594</v>
      </c>
      <c r="K105" s="15" t="s">
        <v>98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7"/>
      <c r="X105" s="17"/>
      <c r="Y105" s="17"/>
      <c r="Z105" s="17"/>
    </row>
    <row r="106" ht="15.75" customHeight="1">
      <c r="A106" s="15" t="s">
        <v>547</v>
      </c>
      <c r="B106" s="15" t="s">
        <v>89</v>
      </c>
      <c r="C106" s="15" t="s">
        <v>91</v>
      </c>
      <c r="D106" s="15" t="s">
        <v>599</v>
      </c>
      <c r="E106" s="15" t="s">
        <v>600</v>
      </c>
      <c r="F106" s="15" t="s">
        <v>94</v>
      </c>
      <c r="G106" s="15" t="s">
        <v>91</v>
      </c>
      <c r="H106" s="15" t="s">
        <v>601</v>
      </c>
      <c r="I106" s="15" t="s">
        <v>41</v>
      </c>
      <c r="J106" s="15" t="s">
        <v>602</v>
      </c>
      <c r="K106" s="15" t="s">
        <v>98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7"/>
      <c r="X106" s="17"/>
      <c r="Y106" s="17"/>
      <c r="Z106" s="17"/>
    </row>
    <row r="107" ht="15.75" customHeight="1">
      <c r="A107" s="15" t="s">
        <v>547</v>
      </c>
      <c r="B107" s="15" t="s">
        <v>89</v>
      </c>
      <c r="C107" s="15" t="s">
        <v>91</v>
      </c>
      <c r="D107" s="15" t="s">
        <v>603</v>
      </c>
      <c r="E107" s="15" t="s">
        <v>604</v>
      </c>
      <c r="F107" s="15" t="s">
        <v>94</v>
      </c>
      <c r="G107" s="15" t="s">
        <v>91</v>
      </c>
      <c r="H107" s="15" t="s">
        <v>606</v>
      </c>
      <c r="I107" s="15" t="s">
        <v>41</v>
      </c>
      <c r="J107" s="15" t="s">
        <v>608</v>
      </c>
      <c r="K107" s="15" t="s">
        <v>98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7"/>
      <c r="X107" s="17"/>
      <c r="Y107" s="17"/>
      <c r="Z107" s="17"/>
    </row>
    <row r="108" ht="15.75" customHeight="1">
      <c r="A108" s="15" t="s">
        <v>547</v>
      </c>
      <c r="B108" s="15" t="s">
        <v>89</v>
      </c>
      <c r="C108" s="15" t="s">
        <v>91</v>
      </c>
      <c r="D108" s="15" t="s">
        <v>609</v>
      </c>
      <c r="E108" s="15" t="s">
        <v>610</v>
      </c>
      <c r="F108" s="15" t="s">
        <v>94</v>
      </c>
      <c r="G108" s="15" t="s">
        <v>91</v>
      </c>
      <c r="H108" s="15" t="s">
        <v>611</v>
      </c>
      <c r="I108" s="15" t="s">
        <v>41</v>
      </c>
      <c r="J108" s="15" t="s">
        <v>612</v>
      </c>
      <c r="K108" s="15" t="s">
        <v>98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7"/>
      <c r="X108" s="17"/>
      <c r="Y108" s="17"/>
      <c r="Z108" s="17"/>
    </row>
    <row r="109" ht="15.75" customHeight="1">
      <c r="A109" s="15" t="s">
        <v>547</v>
      </c>
      <c r="B109" s="15" t="s">
        <v>614</v>
      </c>
      <c r="C109" s="15" t="s">
        <v>615</v>
      </c>
      <c r="D109" s="15" t="s">
        <v>614</v>
      </c>
      <c r="E109" s="15" t="s">
        <v>310</v>
      </c>
      <c r="F109" s="15" t="s">
        <v>38</v>
      </c>
      <c r="G109" s="15" t="s">
        <v>52</v>
      </c>
      <c r="H109" s="15" t="s">
        <v>318</v>
      </c>
      <c r="I109" s="15" t="s">
        <v>41</v>
      </c>
      <c r="J109" s="15" t="s">
        <v>308</v>
      </c>
      <c r="K109" s="15" t="s">
        <v>85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7"/>
      <c r="X109" s="17"/>
      <c r="Y109" s="17"/>
      <c r="Z109" s="17"/>
    </row>
    <row r="110" ht="15.75" customHeight="1">
      <c r="A110" s="15" t="s">
        <v>547</v>
      </c>
      <c r="B110" s="15" t="s">
        <v>89</v>
      </c>
      <c r="C110" s="15" t="s">
        <v>91</v>
      </c>
      <c r="D110" s="15" t="s">
        <v>618</v>
      </c>
      <c r="E110" s="15" t="s">
        <v>31</v>
      </c>
      <c r="F110" s="15" t="s">
        <v>94</v>
      </c>
      <c r="G110" s="15" t="s">
        <v>91</v>
      </c>
      <c r="H110" s="15" t="s">
        <v>37</v>
      </c>
      <c r="I110" s="15" t="s">
        <v>41</v>
      </c>
      <c r="J110" s="15" t="s">
        <v>29</v>
      </c>
      <c r="K110" s="15" t="s">
        <v>98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7"/>
      <c r="X110" s="17"/>
      <c r="Y110" s="17"/>
      <c r="Z110" s="17"/>
    </row>
    <row r="111" ht="15.75" customHeight="1">
      <c r="A111" s="15" t="s">
        <v>547</v>
      </c>
      <c r="B111" s="15" t="s">
        <v>621</v>
      </c>
      <c r="C111" s="15" t="s">
        <v>622</v>
      </c>
      <c r="D111" s="15" t="s">
        <v>621</v>
      </c>
      <c r="E111" s="15" t="s">
        <v>623</v>
      </c>
      <c r="F111" s="15" t="s">
        <v>38</v>
      </c>
      <c r="G111" s="15" t="s">
        <v>624</v>
      </c>
      <c r="H111" s="15" t="s">
        <v>625</v>
      </c>
      <c r="I111" s="15" t="s">
        <v>41</v>
      </c>
      <c r="J111" s="15" t="s">
        <v>626</v>
      </c>
      <c r="K111" s="15" t="s">
        <v>223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7"/>
      <c r="X111" s="17"/>
      <c r="Y111" s="17"/>
      <c r="Z111" s="17"/>
    </row>
    <row r="112" ht="15.75" customHeight="1">
      <c r="A112" s="15" t="s">
        <v>547</v>
      </c>
      <c r="B112" s="15" t="s">
        <v>89</v>
      </c>
      <c r="C112" s="15" t="s">
        <v>91</v>
      </c>
      <c r="D112" s="15" t="s">
        <v>621</v>
      </c>
      <c r="E112" s="15" t="s">
        <v>623</v>
      </c>
      <c r="F112" s="15" t="s">
        <v>94</v>
      </c>
      <c r="G112" s="15" t="s">
        <v>91</v>
      </c>
      <c r="H112" s="15" t="s">
        <v>628</v>
      </c>
      <c r="I112" s="15" t="s">
        <v>41</v>
      </c>
      <c r="J112" s="15" t="s">
        <v>626</v>
      </c>
      <c r="K112" s="15" t="s">
        <v>98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7"/>
      <c r="X112" s="17"/>
      <c r="Y112" s="17"/>
      <c r="Z112" s="17"/>
    </row>
    <row r="113" ht="15.75" customHeight="1">
      <c r="A113" s="15" t="s">
        <v>547</v>
      </c>
      <c r="B113" s="15" t="s">
        <v>630</v>
      </c>
      <c r="C113" s="15" t="s">
        <v>631</v>
      </c>
      <c r="D113" s="15" t="s">
        <v>630</v>
      </c>
      <c r="E113" s="15" t="s">
        <v>632</v>
      </c>
      <c r="F113" s="15" t="s">
        <v>38</v>
      </c>
      <c r="G113" s="15" t="s">
        <v>633</v>
      </c>
      <c r="H113" s="15" t="s">
        <v>634</v>
      </c>
      <c r="I113" s="15" t="s">
        <v>41</v>
      </c>
      <c r="J113" s="15" t="s">
        <v>635</v>
      </c>
      <c r="K113" s="15" t="s">
        <v>223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7"/>
      <c r="X113" s="17"/>
      <c r="Y113" s="17"/>
      <c r="Z113" s="17"/>
    </row>
    <row r="114" ht="15.75" customHeight="1">
      <c r="A114" s="15" t="s">
        <v>547</v>
      </c>
      <c r="B114" s="15" t="s">
        <v>89</v>
      </c>
      <c r="C114" s="15" t="s">
        <v>91</v>
      </c>
      <c r="D114" s="15" t="s">
        <v>630</v>
      </c>
      <c r="E114" s="15" t="s">
        <v>632</v>
      </c>
      <c r="F114" s="15" t="s">
        <v>94</v>
      </c>
      <c r="G114" s="15" t="s">
        <v>91</v>
      </c>
      <c r="H114" s="15" t="s">
        <v>638</v>
      </c>
      <c r="I114" s="15" t="s">
        <v>41</v>
      </c>
      <c r="J114" s="15" t="s">
        <v>635</v>
      </c>
      <c r="K114" s="15" t="s">
        <v>98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7"/>
      <c r="X114" s="17"/>
      <c r="Y114" s="17"/>
      <c r="Z114" s="17"/>
    </row>
    <row r="115" ht="15.75" customHeight="1">
      <c r="A115" s="15" t="s">
        <v>547</v>
      </c>
      <c r="B115" s="15" t="s">
        <v>639</v>
      </c>
      <c r="C115" s="15" t="s">
        <v>640</v>
      </c>
      <c r="D115" s="15" t="s">
        <v>639</v>
      </c>
      <c r="E115" s="15" t="s">
        <v>643</v>
      </c>
      <c r="F115" s="15" t="s">
        <v>38</v>
      </c>
      <c r="G115" s="15" t="s">
        <v>644</v>
      </c>
      <c r="H115" s="15" t="s">
        <v>645</v>
      </c>
      <c r="I115" s="15" t="s">
        <v>41</v>
      </c>
      <c r="J115" s="15" t="s">
        <v>646</v>
      </c>
      <c r="K115" s="15" t="s">
        <v>223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7"/>
      <c r="X115" s="17"/>
      <c r="Y115" s="17"/>
      <c r="Z115" s="17"/>
    </row>
    <row r="116" ht="15.75" customHeight="1">
      <c r="A116" s="15" t="s">
        <v>547</v>
      </c>
      <c r="B116" s="15" t="s">
        <v>89</v>
      </c>
      <c r="C116" s="15" t="s">
        <v>91</v>
      </c>
      <c r="D116" s="15" t="s">
        <v>639</v>
      </c>
      <c r="E116" s="15" t="s">
        <v>643</v>
      </c>
      <c r="F116" s="15" t="s">
        <v>94</v>
      </c>
      <c r="G116" s="15" t="s">
        <v>91</v>
      </c>
      <c r="H116" s="15" t="s">
        <v>650</v>
      </c>
      <c r="I116" s="15" t="s">
        <v>41</v>
      </c>
      <c r="J116" s="15" t="s">
        <v>646</v>
      </c>
      <c r="K116" s="15" t="s">
        <v>98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7"/>
      <c r="X116" s="17"/>
      <c r="Y116" s="17"/>
      <c r="Z116" s="17"/>
    </row>
    <row r="117" ht="15.75" customHeight="1">
      <c r="A117" s="15" t="s">
        <v>547</v>
      </c>
      <c r="B117" s="15" t="s">
        <v>89</v>
      </c>
      <c r="C117" s="15" t="s">
        <v>91</v>
      </c>
      <c r="D117" s="15" t="s">
        <v>655</v>
      </c>
      <c r="E117" s="15" t="s">
        <v>656</v>
      </c>
      <c r="F117" s="15" t="s">
        <v>94</v>
      </c>
      <c r="G117" s="15" t="s">
        <v>91</v>
      </c>
      <c r="H117" s="15" t="s">
        <v>657</v>
      </c>
      <c r="I117" s="15" t="s">
        <v>41</v>
      </c>
      <c r="J117" s="15" t="s">
        <v>658</v>
      </c>
      <c r="K117" s="15" t="s">
        <v>98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7"/>
      <c r="X117" s="17"/>
      <c r="Y117" s="17"/>
      <c r="Z117" s="17"/>
    </row>
    <row r="118" ht="15.75" customHeight="1">
      <c r="A118" s="15" t="s">
        <v>547</v>
      </c>
      <c r="B118" s="15" t="s">
        <v>89</v>
      </c>
      <c r="C118" s="15" t="s">
        <v>91</v>
      </c>
      <c r="D118" s="15" t="s">
        <v>664</v>
      </c>
      <c r="E118" s="15" t="s">
        <v>665</v>
      </c>
      <c r="F118" s="15" t="s">
        <v>94</v>
      </c>
      <c r="G118" s="15" t="s">
        <v>91</v>
      </c>
      <c r="H118" s="15" t="s">
        <v>667</v>
      </c>
      <c r="I118" s="15" t="s">
        <v>41</v>
      </c>
      <c r="J118" s="15" t="s">
        <v>669</v>
      </c>
      <c r="K118" s="15" t="s">
        <v>98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7"/>
      <c r="X118" s="17"/>
      <c r="Y118" s="17"/>
      <c r="Z118" s="17"/>
    </row>
    <row r="119" ht="15.75" customHeight="1">
      <c r="A119" s="15" t="s">
        <v>547</v>
      </c>
      <c r="B119" s="15" t="s">
        <v>89</v>
      </c>
      <c r="C119" s="15" t="s">
        <v>91</v>
      </c>
      <c r="D119" s="15" t="s">
        <v>670</v>
      </c>
      <c r="E119" s="15" t="s">
        <v>410</v>
      </c>
      <c r="F119" s="15" t="s">
        <v>94</v>
      </c>
      <c r="G119" s="15" t="s">
        <v>91</v>
      </c>
      <c r="H119" s="15" t="s">
        <v>414</v>
      </c>
      <c r="I119" s="15" t="s">
        <v>41</v>
      </c>
      <c r="J119" s="15" t="s">
        <v>409</v>
      </c>
      <c r="K119" s="15" t="s">
        <v>98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7"/>
      <c r="X119" s="17"/>
      <c r="Y119" s="17"/>
      <c r="Z119" s="17"/>
    </row>
    <row r="120" ht="15.75" customHeight="1">
      <c r="A120" s="15" t="s">
        <v>547</v>
      </c>
      <c r="B120" s="15" t="s">
        <v>647</v>
      </c>
      <c r="C120" s="15" t="s">
        <v>648</v>
      </c>
      <c r="D120" s="15" t="s">
        <v>647</v>
      </c>
      <c r="E120" s="15" t="s">
        <v>651</v>
      </c>
      <c r="F120" s="15" t="s">
        <v>38</v>
      </c>
      <c r="G120" s="15" t="s">
        <v>652</v>
      </c>
      <c r="H120" s="15" t="s">
        <v>653</v>
      </c>
      <c r="I120" s="15" t="s">
        <v>41</v>
      </c>
      <c r="J120" s="15" t="s">
        <v>654</v>
      </c>
      <c r="K120" s="15" t="s">
        <v>223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7"/>
      <c r="X120" s="17"/>
      <c r="Y120" s="17"/>
      <c r="Z120" s="17"/>
    </row>
    <row r="121" ht="15.75" customHeight="1">
      <c r="A121" s="15" t="s">
        <v>547</v>
      </c>
      <c r="B121" s="15" t="s">
        <v>659</v>
      </c>
      <c r="C121" s="15" t="s">
        <v>659</v>
      </c>
      <c r="D121" s="15" t="s">
        <v>647</v>
      </c>
      <c r="E121" s="22" t="s">
        <v>660</v>
      </c>
      <c r="F121" s="22" t="s">
        <v>278</v>
      </c>
      <c r="G121" s="15" t="s">
        <v>652</v>
      </c>
      <c r="H121" s="15" t="s">
        <v>653</v>
      </c>
      <c r="I121" s="15" t="s">
        <v>41</v>
      </c>
      <c r="J121" s="15" t="s">
        <v>654</v>
      </c>
      <c r="K121" s="15" t="s">
        <v>223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7"/>
      <c r="X121" s="17"/>
      <c r="Y121" s="17"/>
      <c r="Z121" s="17"/>
    </row>
    <row r="122" ht="15.75" customHeight="1">
      <c r="A122" s="15" t="s">
        <v>547</v>
      </c>
      <c r="B122" s="15" t="s">
        <v>89</v>
      </c>
      <c r="C122" s="15" t="s">
        <v>91</v>
      </c>
      <c r="D122" s="15" t="s">
        <v>647</v>
      </c>
      <c r="E122" s="15" t="s">
        <v>651</v>
      </c>
      <c r="F122" s="15" t="s">
        <v>94</v>
      </c>
      <c r="G122" s="15" t="s">
        <v>91</v>
      </c>
      <c r="H122" s="15" t="s">
        <v>688</v>
      </c>
      <c r="I122" s="15" t="s">
        <v>41</v>
      </c>
      <c r="J122" s="15" t="s">
        <v>654</v>
      </c>
      <c r="K122" s="15" t="s">
        <v>98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7"/>
      <c r="X122" s="17"/>
      <c r="Y122" s="17"/>
      <c r="Z122" s="17"/>
    </row>
    <row r="123" ht="15.75" customHeight="1">
      <c r="A123" s="15" t="s">
        <v>547</v>
      </c>
      <c r="B123" s="15" t="s">
        <v>89</v>
      </c>
      <c r="C123" s="15" t="s">
        <v>91</v>
      </c>
      <c r="D123" s="15" t="s">
        <v>692</v>
      </c>
      <c r="E123" s="15" t="s">
        <v>693</v>
      </c>
      <c r="F123" s="15" t="s">
        <v>94</v>
      </c>
      <c r="G123" s="15" t="s">
        <v>91</v>
      </c>
      <c r="H123" s="15" t="s">
        <v>694</v>
      </c>
      <c r="I123" s="15" t="s">
        <v>41</v>
      </c>
      <c r="J123" s="15" t="s">
        <v>695</v>
      </c>
      <c r="K123" s="15" t="s">
        <v>98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7"/>
      <c r="X123" s="17"/>
      <c r="Y123" s="17"/>
      <c r="Z123" s="17"/>
    </row>
    <row r="124" ht="15.75" customHeight="1">
      <c r="A124" s="15" t="s">
        <v>547</v>
      </c>
      <c r="B124" s="15" t="s">
        <v>673</v>
      </c>
      <c r="C124" s="15" t="s">
        <v>674</v>
      </c>
      <c r="D124" s="15" t="s">
        <v>673</v>
      </c>
      <c r="E124" s="15" t="s">
        <v>675</v>
      </c>
      <c r="F124" s="15" t="s">
        <v>38</v>
      </c>
      <c r="G124" s="15" t="s">
        <v>676</v>
      </c>
      <c r="H124" s="15" t="s">
        <v>677</v>
      </c>
      <c r="I124" s="15" t="s">
        <v>41</v>
      </c>
      <c r="J124" s="15" t="s">
        <v>678</v>
      </c>
      <c r="K124" s="15" t="s">
        <v>223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7"/>
      <c r="X124" s="17"/>
      <c r="Y124" s="17"/>
      <c r="Z124" s="17"/>
    </row>
    <row r="125" ht="15.75" customHeight="1">
      <c r="A125" s="15" t="s">
        <v>547</v>
      </c>
      <c r="B125" s="15" t="s">
        <v>89</v>
      </c>
      <c r="C125" s="15" t="s">
        <v>91</v>
      </c>
      <c r="D125" s="15" t="s">
        <v>673</v>
      </c>
      <c r="E125" s="15" t="s">
        <v>675</v>
      </c>
      <c r="F125" s="15" t="s">
        <v>94</v>
      </c>
      <c r="G125" s="15" t="s">
        <v>91</v>
      </c>
      <c r="H125" s="15" t="s">
        <v>704</v>
      </c>
      <c r="I125" s="15" t="s">
        <v>41</v>
      </c>
      <c r="J125" s="15" t="s">
        <v>678</v>
      </c>
      <c r="K125" s="15" t="s">
        <v>98</v>
      </c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7"/>
      <c r="X125" s="17"/>
      <c r="Y125" s="17"/>
      <c r="Z125" s="17"/>
    </row>
    <row r="126" ht="15.75" customHeight="1">
      <c r="A126" s="15" t="s">
        <v>547</v>
      </c>
      <c r="B126" s="15" t="s">
        <v>682</v>
      </c>
      <c r="C126" s="15" t="s">
        <v>683</v>
      </c>
      <c r="D126" s="15" t="s">
        <v>682</v>
      </c>
      <c r="E126" s="15" t="s">
        <v>684</v>
      </c>
      <c r="F126" s="15" t="s">
        <v>38</v>
      </c>
      <c r="G126" s="15" t="s">
        <v>685</v>
      </c>
      <c r="H126" s="15" t="s">
        <v>686</v>
      </c>
      <c r="I126" s="15" t="s">
        <v>41</v>
      </c>
      <c r="J126" s="15" t="s">
        <v>687</v>
      </c>
      <c r="K126" s="15" t="s">
        <v>223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7"/>
      <c r="X126" s="17"/>
      <c r="Y126" s="17"/>
      <c r="Z126" s="17"/>
    </row>
    <row r="127" ht="15.75" customHeight="1">
      <c r="A127" s="15" t="s">
        <v>547</v>
      </c>
      <c r="B127" s="15" t="s">
        <v>89</v>
      </c>
      <c r="C127" s="15" t="s">
        <v>91</v>
      </c>
      <c r="D127" s="15" t="s">
        <v>682</v>
      </c>
      <c r="E127" s="15" t="s">
        <v>684</v>
      </c>
      <c r="F127" s="15" t="s">
        <v>94</v>
      </c>
      <c r="G127" s="15" t="s">
        <v>91</v>
      </c>
      <c r="H127" s="15" t="s">
        <v>715</v>
      </c>
      <c r="I127" s="15" t="s">
        <v>41</v>
      </c>
      <c r="J127" s="15" t="s">
        <v>687</v>
      </c>
      <c r="K127" s="15" t="s">
        <v>98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7"/>
      <c r="X127" s="17"/>
      <c r="Y127" s="17"/>
      <c r="Z127" s="17"/>
    </row>
    <row r="128" ht="15.75" customHeight="1">
      <c r="A128" s="15" t="s">
        <v>547</v>
      </c>
      <c r="B128" s="15" t="s">
        <v>89</v>
      </c>
      <c r="C128" s="15" t="s">
        <v>91</v>
      </c>
      <c r="D128" s="15" t="s">
        <v>721</v>
      </c>
      <c r="E128" s="15" t="s">
        <v>722</v>
      </c>
      <c r="F128" s="15" t="s">
        <v>94</v>
      </c>
      <c r="G128" s="15" t="s">
        <v>91</v>
      </c>
      <c r="H128" s="15" t="s">
        <v>724</v>
      </c>
      <c r="I128" s="15" t="s">
        <v>41</v>
      </c>
      <c r="J128" s="15" t="s">
        <v>725</v>
      </c>
      <c r="K128" s="15" t="s">
        <v>98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7"/>
      <c r="X128" s="17"/>
      <c r="Y128" s="17"/>
      <c r="Z128" s="17"/>
    </row>
    <row r="129" ht="15.75" customHeight="1">
      <c r="A129" s="15" t="s">
        <v>547</v>
      </c>
      <c r="B129" s="15" t="s">
        <v>89</v>
      </c>
      <c r="C129" s="15" t="s">
        <v>91</v>
      </c>
      <c r="D129" s="15" t="s">
        <v>728</v>
      </c>
      <c r="E129" s="15" t="s">
        <v>730</v>
      </c>
      <c r="F129" s="15" t="s">
        <v>94</v>
      </c>
      <c r="G129" s="15" t="s">
        <v>91</v>
      </c>
      <c r="H129" s="15" t="s">
        <v>733</v>
      </c>
      <c r="I129" s="15" t="s">
        <v>41</v>
      </c>
      <c r="J129" s="15" t="s">
        <v>734</v>
      </c>
      <c r="K129" s="15" t="s">
        <v>98</v>
      </c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7"/>
      <c r="X129" s="17"/>
      <c r="Y129" s="17"/>
      <c r="Z129" s="17"/>
    </row>
    <row r="130" ht="15.75" customHeight="1">
      <c r="A130" s="15" t="s">
        <v>547</v>
      </c>
      <c r="B130" s="15" t="s">
        <v>89</v>
      </c>
      <c r="C130" s="15" t="s">
        <v>91</v>
      </c>
      <c r="D130" s="15" t="s">
        <v>739</v>
      </c>
      <c r="E130" s="15" t="s">
        <v>740</v>
      </c>
      <c r="F130" s="15" t="s">
        <v>94</v>
      </c>
      <c r="G130" s="15" t="s">
        <v>91</v>
      </c>
      <c r="H130" s="15" t="s">
        <v>741</v>
      </c>
      <c r="I130" s="15" t="s">
        <v>41</v>
      </c>
      <c r="J130" s="15" t="s">
        <v>742</v>
      </c>
      <c r="K130" s="15" t="s">
        <v>98</v>
      </c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7"/>
      <c r="X130" s="17"/>
      <c r="Y130" s="17"/>
      <c r="Z130" s="17"/>
    </row>
    <row r="131" ht="15.75" customHeight="1">
      <c r="A131" s="15" t="s">
        <v>547</v>
      </c>
      <c r="B131" s="15" t="s">
        <v>89</v>
      </c>
      <c r="C131" s="15" t="s">
        <v>91</v>
      </c>
      <c r="D131" s="15" t="s">
        <v>748</v>
      </c>
      <c r="E131" s="15" t="s">
        <v>749</v>
      </c>
      <c r="F131" s="15" t="s">
        <v>94</v>
      </c>
      <c r="G131" s="15" t="s">
        <v>91</v>
      </c>
      <c r="H131" s="15" t="s">
        <v>750</v>
      </c>
      <c r="I131" s="15" t="s">
        <v>41</v>
      </c>
      <c r="J131" s="15" t="s">
        <v>752</v>
      </c>
      <c r="K131" s="15" t="s">
        <v>98</v>
      </c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7"/>
      <c r="X131" s="17"/>
      <c r="Y131" s="17"/>
      <c r="Z131" s="17"/>
    </row>
    <row r="132" ht="15.75" customHeight="1">
      <c r="A132" s="15" t="s">
        <v>547</v>
      </c>
      <c r="B132" s="15" t="s">
        <v>89</v>
      </c>
      <c r="C132" s="15" t="s">
        <v>91</v>
      </c>
      <c r="D132" s="15" t="s">
        <v>758</v>
      </c>
      <c r="E132" s="25" t="s">
        <v>759</v>
      </c>
      <c r="F132" s="15" t="s">
        <v>94</v>
      </c>
      <c r="G132" s="15" t="s">
        <v>91</v>
      </c>
      <c r="H132" s="15" t="s">
        <v>760</v>
      </c>
      <c r="I132" s="15" t="s">
        <v>41</v>
      </c>
      <c r="J132" s="15" t="s">
        <v>761</v>
      </c>
      <c r="K132" s="15" t="s">
        <v>98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7"/>
      <c r="X132" s="17"/>
      <c r="Y132" s="17"/>
      <c r="Z132" s="17"/>
    </row>
    <row r="133" ht="15.75" customHeight="1">
      <c r="A133" s="24" t="s">
        <v>370</v>
      </c>
      <c r="B133" s="24" t="s">
        <v>764</v>
      </c>
      <c r="C133" s="15" t="s">
        <v>766</v>
      </c>
      <c r="D133" s="24" t="s">
        <v>521</v>
      </c>
      <c r="E133" s="24" t="s">
        <v>770</v>
      </c>
      <c r="F133" s="24" t="s">
        <v>38</v>
      </c>
      <c r="G133" s="15" t="s">
        <v>529</v>
      </c>
      <c r="H133" s="20" t="s">
        <v>522</v>
      </c>
      <c r="I133" s="20" t="s">
        <v>221</v>
      </c>
      <c r="J133" s="15" t="s">
        <v>222</v>
      </c>
      <c r="K133" s="15" t="s">
        <v>223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7"/>
      <c r="X133" s="17"/>
      <c r="Y133" s="17"/>
      <c r="Z133" s="17"/>
    </row>
    <row r="134" ht="15.75" customHeight="1">
      <c r="A134" s="24" t="s">
        <v>370</v>
      </c>
      <c r="B134" s="24" t="s">
        <v>776</v>
      </c>
      <c r="C134" s="15"/>
      <c r="D134" s="24" t="s">
        <v>521</v>
      </c>
      <c r="E134" s="26" t="s">
        <v>777</v>
      </c>
      <c r="F134" s="26" t="s">
        <v>151</v>
      </c>
      <c r="G134" s="21" t="s">
        <v>152</v>
      </c>
      <c r="H134" s="20" t="s">
        <v>522</v>
      </c>
      <c r="I134" s="20" t="s">
        <v>221</v>
      </c>
      <c r="J134" s="15" t="s">
        <v>222</v>
      </c>
      <c r="K134" s="15" t="s">
        <v>223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7"/>
      <c r="X134" s="17"/>
      <c r="Y134" s="17"/>
      <c r="Z134" s="17"/>
    </row>
    <row r="135" ht="15.75" customHeight="1">
      <c r="A135" s="24" t="s">
        <v>370</v>
      </c>
      <c r="B135" s="24" t="s">
        <v>785</v>
      </c>
      <c r="C135" s="15" t="s">
        <v>786</v>
      </c>
      <c r="D135" s="24" t="s">
        <v>521</v>
      </c>
      <c r="E135" s="24" t="s">
        <v>787</v>
      </c>
      <c r="F135" s="24" t="s">
        <v>38</v>
      </c>
      <c r="G135" s="15" t="s">
        <v>52</v>
      </c>
      <c r="H135" s="20" t="s">
        <v>522</v>
      </c>
      <c r="I135" s="20" t="s">
        <v>221</v>
      </c>
      <c r="J135" s="15" t="s">
        <v>222</v>
      </c>
      <c r="K135" s="15" t="s">
        <v>223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7"/>
      <c r="X135" s="17"/>
      <c r="Y135" s="17"/>
      <c r="Z135" s="17"/>
    </row>
    <row r="136" ht="15.75" customHeight="1">
      <c r="A136" s="24" t="s">
        <v>370</v>
      </c>
      <c r="B136" s="24" t="s">
        <v>788</v>
      </c>
      <c r="C136" s="15" t="s">
        <v>789</v>
      </c>
      <c r="D136" s="24" t="s">
        <v>521</v>
      </c>
      <c r="E136" s="24" t="s">
        <v>793</v>
      </c>
      <c r="F136" s="24" t="s">
        <v>38</v>
      </c>
      <c r="G136" s="15" t="s">
        <v>52</v>
      </c>
      <c r="H136" s="20" t="s">
        <v>522</v>
      </c>
      <c r="I136" s="20" t="s">
        <v>221</v>
      </c>
      <c r="J136" s="15" t="s">
        <v>222</v>
      </c>
      <c r="K136" s="15" t="s">
        <v>223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7"/>
      <c r="X136" s="17"/>
      <c r="Y136" s="17"/>
      <c r="Z136" s="17"/>
    </row>
    <row r="137" ht="15.75" customHeight="1">
      <c r="A137" s="24" t="s">
        <v>370</v>
      </c>
      <c r="B137" s="24" t="s">
        <v>798</v>
      </c>
      <c r="C137" s="15" t="s">
        <v>799</v>
      </c>
      <c r="D137" s="24" t="s">
        <v>521</v>
      </c>
      <c r="E137" s="24" t="s">
        <v>800</v>
      </c>
      <c r="F137" s="24" t="s">
        <v>38</v>
      </c>
      <c r="G137" s="15" t="s">
        <v>52</v>
      </c>
      <c r="H137" s="20" t="s">
        <v>522</v>
      </c>
      <c r="I137" s="20" t="s">
        <v>221</v>
      </c>
      <c r="J137" s="15" t="s">
        <v>222</v>
      </c>
      <c r="K137" s="15" t="s">
        <v>223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7"/>
      <c r="X137" s="17"/>
      <c r="Y137" s="17"/>
      <c r="Z137" s="17"/>
    </row>
    <row r="138" ht="15.75" customHeight="1">
      <c r="A138" s="24" t="s">
        <v>370</v>
      </c>
      <c r="B138" s="24" t="s">
        <v>806</v>
      </c>
      <c r="C138" s="15" t="s">
        <v>808</v>
      </c>
      <c r="D138" s="24" t="s">
        <v>521</v>
      </c>
      <c r="E138" s="24" t="s">
        <v>811</v>
      </c>
      <c r="F138" s="24" t="s">
        <v>38</v>
      </c>
      <c r="G138" s="15" t="s">
        <v>52</v>
      </c>
      <c r="H138" s="20" t="s">
        <v>522</v>
      </c>
      <c r="I138" s="20" t="s">
        <v>221</v>
      </c>
      <c r="J138" s="15" t="s">
        <v>222</v>
      </c>
      <c r="K138" s="15" t="s">
        <v>223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7"/>
      <c r="X138" s="17"/>
      <c r="Y138" s="17"/>
      <c r="Z138" s="17"/>
    </row>
    <row r="139" ht="15.75" customHeight="1">
      <c r="A139" s="24" t="s">
        <v>229</v>
      </c>
      <c r="B139" s="24" t="s">
        <v>812</v>
      </c>
      <c r="C139" s="15" t="s">
        <v>813</v>
      </c>
      <c r="D139" s="24" t="s">
        <v>815</v>
      </c>
      <c r="E139" s="24" t="s">
        <v>812</v>
      </c>
      <c r="F139" s="24" t="s">
        <v>38</v>
      </c>
      <c r="G139" s="15" t="s">
        <v>816</v>
      </c>
      <c r="H139" s="20" t="s">
        <v>817</v>
      </c>
      <c r="I139" s="20" t="s">
        <v>221</v>
      </c>
      <c r="J139" s="15" t="s">
        <v>222</v>
      </c>
      <c r="K139" s="15" t="s">
        <v>223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7"/>
      <c r="X139" s="17"/>
      <c r="Y139" s="17"/>
      <c r="Z139" s="17"/>
    </row>
    <row r="140" ht="15.75" customHeight="1">
      <c r="A140" s="24" t="s">
        <v>473</v>
      </c>
      <c r="B140" s="24" t="s">
        <v>820</v>
      </c>
      <c r="C140" s="15" t="s">
        <v>821</v>
      </c>
      <c r="D140" s="24" t="s">
        <v>820</v>
      </c>
      <c r="E140" s="24" t="s">
        <v>822</v>
      </c>
      <c r="F140" s="24" t="s">
        <v>38</v>
      </c>
      <c r="G140" s="15" t="s">
        <v>52</v>
      </c>
      <c r="H140" s="20" t="s">
        <v>824</v>
      </c>
      <c r="I140" s="20" t="s">
        <v>221</v>
      </c>
      <c r="J140" s="15" t="s">
        <v>222</v>
      </c>
      <c r="K140" s="15" t="s">
        <v>223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7"/>
      <c r="X140" s="17"/>
      <c r="Y140" s="17"/>
      <c r="Z140" s="17"/>
    </row>
    <row r="141" ht="15.75" customHeight="1">
      <c r="A141" s="24" t="s">
        <v>214</v>
      </c>
      <c r="B141" s="24" t="s">
        <v>825</v>
      </c>
      <c r="C141" s="15" t="s">
        <v>826</v>
      </c>
      <c r="D141" s="24" t="s">
        <v>825</v>
      </c>
      <c r="E141" s="24" t="s">
        <v>825</v>
      </c>
      <c r="F141" s="24" t="s">
        <v>38</v>
      </c>
      <c r="G141" s="15" t="s">
        <v>217</v>
      </c>
      <c r="H141" s="20" t="s">
        <v>828</v>
      </c>
      <c r="I141" s="20" t="s">
        <v>221</v>
      </c>
      <c r="J141" s="15" t="s">
        <v>222</v>
      </c>
      <c r="K141" s="15" t="s">
        <v>223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7"/>
      <c r="X141" s="17"/>
      <c r="Y141" s="17"/>
      <c r="Z141" s="17"/>
    </row>
    <row r="142" ht="15.75" customHeight="1">
      <c r="A142" s="24" t="s">
        <v>356</v>
      </c>
      <c r="B142" s="24" t="s">
        <v>830</v>
      </c>
      <c r="C142" s="15" t="s">
        <v>826</v>
      </c>
      <c r="D142" s="24" t="s">
        <v>830</v>
      </c>
      <c r="E142" s="24" t="s">
        <v>830</v>
      </c>
      <c r="F142" s="24" t="s">
        <v>38</v>
      </c>
      <c r="G142" s="15" t="s">
        <v>217</v>
      </c>
      <c r="H142" s="20" t="s">
        <v>828</v>
      </c>
      <c r="I142" s="20" t="s">
        <v>221</v>
      </c>
      <c r="J142" s="15" t="s">
        <v>222</v>
      </c>
      <c r="K142" s="15" t="s">
        <v>223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7"/>
      <c r="X142" s="17"/>
      <c r="Y142" s="17"/>
      <c r="Z142" s="17"/>
    </row>
    <row r="143" ht="15.75" customHeight="1">
      <c r="A143" s="24" t="s">
        <v>214</v>
      </c>
      <c r="B143" s="24" t="s">
        <v>832</v>
      </c>
      <c r="C143" s="15"/>
      <c r="D143" s="24" t="s">
        <v>832</v>
      </c>
      <c r="E143" s="26" t="s">
        <v>832</v>
      </c>
      <c r="F143" s="26" t="s">
        <v>151</v>
      </c>
      <c r="G143" s="21" t="s">
        <v>217</v>
      </c>
      <c r="H143" s="20" t="s">
        <v>834</v>
      </c>
      <c r="I143" s="20" t="s">
        <v>221</v>
      </c>
      <c r="J143" s="15" t="s">
        <v>222</v>
      </c>
      <c r="K143" s="15" t="s">
        <v>223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7"/>
      <c r="X143" s="17"/>
      <c r="Y143" s="17"/>
      <c r="Z143" s="17"/>
    </row>
    <row r="144" ht="15.75" customHeight="1">
      <c r="A144" s="15" t="s">
        <v>696</v>
      </c>
      <c r="B144" s="15" t="s">
        <v>89</v>
      </c>
      <c r="C144" s="15" t="s">
        <v>91</v>
      </c>
      <c r="D144" s="15" t="s">
        <v>838</v>
      </c>
      <c r="E144" s="15" t="s">
        <v>839</v>
      </c>
      <c r="F144" s="15" t="s">
        <v>94</v>
      </c>
      <c r="G144" s="15" t="s">
        <v>91</v>
      </c>
      <c r="H144" s="15" t="s">
        <v>841</v>
      </c>
      <c r="I144" s="15" t="s">
        <v>41</v>
      </c>
      <c r="J144" s="15" t="s">
        <v>844</v>
      </c>
      <c r="K144" s="15" t="s">
        <v>98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7"/>
      <c r="X144" s="17"/>
      <c r="Y144" s="17"/>
      <c r="Z144" s="17"/>
    </row>
    <row r="145" ht="15.75" customHeight="1">
      <c r="A145" s="15" t="s">
        <v>696</v>
      </c>
      <c r="B145" s="15" t="s">
        <v>697</v>
      </c>
      <c r="C145" s="15" t="s">
        <v>699</v>
      </c>
      <c r="D145" s="15" t="s">
        <v>697</v>
      </c>
      <c r="E145" s="15" t="s">
        <v>700</v>
      </c>
      <c r="F145" s="15" t="s">
        <v>38</v>
      </c>
      <c r="G145" s="15" t="s">
        <v>701</v>
      </c>
      <c r="H145" s="15" t="s">
        <v>702</v>
      </c>
      <c r="I145" s="15" t="s">
        <v>41</v>
      </c>
      <c r="J145" s="15" t="s">
        <v>703</v>
      </c>
      <c r="K145" s="15" t="s">
        <v>85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7"/>
      <c r="X145" s="17"/>
      <c r="Y145" s="17"/>
      <c r="Z145" s="17"/>
    </row>
    <row r="146" ht="15.75" customHeight="1">
      <c r="A146" s="15" t="s">
        <v>696</v>
      </c>
      <c r="B146" s="15" t="s">
        <v>89</v>
      </c>
      <c r="C146" s="15" t="s">
        <v>91</v>
      </c>
      <c r="D146" s="15" t="s">
        <v>850</v>
      </c>
      <c r="E146" s="15" t="s">
        <v>851</v>
      </c>
      <c r="F146" s="15" t="s">
        <v>94</v>
      </c>
      <c r="G146" s="15" t="s">
        <v>91</v>
      </c>
      <c r="H146" s="15" t="s">
        <v>854</v>
      </c>
      <c r="I146" s="15" t="s">
        <v>41</v>
      </c>
      <c r="J146" s="15" t="s">
        <v>857</v>
      </c>
      <c r="K146" s="15" t="s">
        <v>98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7"/>
      <c r="X146" s="17"/>
      <c r="Y146" s="17"/>
      <c r="Z146" s="17"/>
    </row>
    <row r="147" ht="15.75" customHeight="1">
      <c r="A147" s="15" t="s">
        <v>696</v>
      </c>
      <c r="B147" s="15" t="s">
        <v>89</v>
      </c>
      <c r="C147" s="15" t="s">
        <v>91</v>
      </c>
      <c r="D147" s="15" t="s">
        <v>858</v>
      </c>
      <c r="E147" s="15" t="s">
        <v>859</v>
      </c>
      <c r="F147" s="15" t="s">
        <v>94</v>
      </c>
      <c r="G147" s="15" t="s">
        <v>91</v>
      </c>
      <c r="H147" s="15" t="s">
        <v>860</v>
      </c>
      <c r="I147" s="15" t="s">
        <v>41</v>
      </c>
      <c r="J147" s="15" t="s">
        <v>862</v>
      </c>
      <c r="K147" s="15" t="s">
        <v>98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7"/>
      <c r="X147" s="17"/>
      <c r="Y147" s="17"/>
      <c r="Z147" s="17"/>
    </row>
    <row r="148" ht="15.75" customHeight="1">
      <c r="A148" s="15" t="s">
        <v>696</v>
      </c>
      <c r="B148" s="15" t="s">
        <v>705</v>
      </c>
      <c r="C148" s="15" t="s">
        <v>706</v>
      </c>
      <c r="D148" s="15" t="s">
        <v>705</v>
      </c>
      <c r="E148" s="15" t="s">
        <v>708</v>
      </c>
      <c r="F148" s="15" t="s">
        <v>38</v>
      </c>
      <c r="G148" s="15" t="s">
        <v>709</v>
      </c>
      <c r="H148" s="15" t="s">
        <v>710</v>
      </c>
      <c r="I148" s="15" t="s">
        <v>41</v>
      </c>
      <c r="J148" s="15" t="s">
        <v>711</v>
      </c>
      <c r="K148" s="15" t="s">
        <v>85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7"/>
      <c r="X148" s="17"/>
      <c r="Y148" s="17"/>
      <c r="Z148" s="17"/>
    </row>
    <row r="149" ht="15.75" customHeight="1">
      <c r="A149" s="15" t="s">
        <v>696</v>
      </c>
      <c r="B149" s="15" t="s">
        <v>89</v>
      </c>
      <c r="C149" s="15" t="s">
        <v>91</v>
      </c>
      <c r="D149" s="15" t="s">
        <v>870</v>
      </c>
      <c r="E149" s="15" t="s">
        <v>871</v>
      </c>
      <c r="F149" s="15" t="s">
        <v>94</v>
      </c>
      <c r="G149" s="15" t="s">
        <v>91</v>
      </c>
      <c r="H149" s="15" t="s">
        <v>872</v>
      </c>
      <c r="I149" s="15" t="s">
        <v>41</v>
      </c>
      <c r="J149" s="15" t="s">
        <v>873</v>
      </c>
      <c r="K149" s="15" t="s">
        <v>98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7"/>
      <c r="X149" s="17"/>
      <c r="Y149" s="17"/>
      <c r="Z149" s="17"/>
    </row>
    <row r="150" ht="15.75" customHeight="1">
      <c r="A150" s="15" t="s">
        <v>696</v>
      </c>
      <c r="B150" s="15" t="s">
        <v>89</v>
      </c>
      <c r="C150" s="15" t="s">
        <v>91</v>
      </c>
      <c r="D150" s="15" t="s">
        <v>879</v>
      </c>
      <c r="E150" s="15" t="s">
        <v>881</v>
      </c>
      <c r="F150" s="15" t="s">
        <v>94</v>
      </c>
      <c r="G150" s="15" t="s">
        <v>91</v>
      </c>
      <c r="H150" s="15" t="s">
        <v>885</v>
      </c>
      <c r="I150" s="15" t="s">
        <v>41</v>
      </c>
      <c r="J150" s="15" t="s">
        <v>886</v>
      </c>
      <c r="K150" s="15" t="s">
        <v>98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7"/>
      <c r="X150" s="17"/>
      <c r="Y150" s="17"/>
      <c r="Z150" s="17"/>
    </row>
    <row r="151" ht="15.75" customHeight="1">
      <c r="A151" s="15" t="s">
        <v>696</v>
      </c>
      <c r="B151" s="15" t="s">
        <v>714</v>
      </c>
      <c r="C151" s="15" t="s">
        <v>716</v>
      </c>
      <c r="D151" s="15" t="s">
        <v>714</v>
      </c>
      <c r="E151" s="15" t="s">
        <v>717</v>
      </c>
      <c r="F151" s="15" t="s">
        <v>38</v>
      </c>
      <c r="G151" s="15" t="s">
        <v>718</v>
      </c>
      <c r="H151" s="15" t="s">
        <v>719</v>
      </c>
      <c r="I151" s="15" t="s">
        <v>41</v>
      </c>
      <c r="J151" s="15" t="s">
        <v>720</v>
      </c>
      <c r="K151" s="15" t="s">
        <v>85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7"/>
      <c r="X151" s="17"/>
      <c r="Y151" s="17"/>
      <c r="Z151" s="17"/>
    </row>
    <row r="152" ht="15.75" customHeight="1">
      <c r="A152" s="15" t="s">
        <v>696</v>
      </c>
      <c r="B152" s="15" t="s">
        <v>89</v>
      </c>
      <c r="C152" s="15" t="s">
        <v>91</v>
      </c>
      <c r="D152" s="15" t="s">
        <v>895</v>
      </c>
      <c r="E152" s="15" t="s">
        <v>896</v>
      </c>
      <c r="F152" s="15" t="s">
        <v>94</v>
      </c>
      <c r="G152" s="15" t="s">
        <v>91</v>
      </c>
      <c r="H152" s="15" t="s">
        <v>897</v>
      </c>
      <c r="I152" s="15" t="s">
        <v>41</v>
      </c>
      <c r="J152" s="15" t="s">
        <v>898</v>
      </c>
      <c r="K152" s="15" t="s">
        <v>98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7"/>
      <c r="X152" s="17"/>
      <c r="Y152" s="17"/>
      <c r="Z152" s="17"/>
    </row>
    <row r="153" ht="15.75" customHeight="1">
      <c r="A153" s="15" t="s">
        <v>696</v>
      </c>
      <c r="B153" s="15" t="s">
        <v>89</v>
      </c>
      <c r="C153" s="15" t="s">
        <v>91</v>
      </c>
      <c r="D153" s="15" t="s">
        <v>901</v>
      </c>
      <c r="E153" s="15" t="s">
        <v>902</v>
      </c>
      <c r="F153" s="15" t="s">
        <v>94</v>
      </c>
      <c r="G153" s="15" t="s">
        <v>91</v>
      </c>
      <c r="H153" s="15" t="s">
        <v>903</v>
      </c>
      <c r="I153" s="15" t="s">
        <v>41</v>
      </c>
      <c r="J153" s="15" t="s">
        <v>905</v>
      </c>
      <c r="K153" s="15" t="s">
        <v>98</v>
      </c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7"/>
      <c r="X153" s="17"/>
      <c r="Y153" s="17"/>
      <c r="Z153" s="17"/>
    </row>
    <row r="154" ht="15.75" customHeight="1">
      <c r="A154" s="15" t="s">
        <v>696</v>
      </c>
      <c r="B154" s="15" t="s">
        <v>729</v>
      </c>
      <c r="C154" s="15" t="s">
        <v>731</v>
      </c>
      <c r="D154" s="15" t="s">
        <v>729</v>
      </c>
      <c r="E154" s="15" t="s">
        <v>735</v>
      </c>
      <c r="F154" s="15" t="s">
        <v>38</v>
      </c>
      <c r="G154" s="15" t="s">
        <v>736</v>
      </c>
      <c r="H154" s="15" t="s">
        <v>737</v>
      </c>
      <c r="I154" s="15" t="s">
        <v>41</v>
      </c>
      <c r="J154" s="15" t="s">
        <v>738</v>
      </c>
      <c r="K154" s="15" t="s">
        <v>85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7"/>
      <c r="X154" s="17"/>
      <c r="Y154" s="17"/>
      <c r="Z154" s="17"/>
    </row>
    <row r="155" ht="15.75" customHeight="1">
      <c r="A155" s="15" t="s">
        <v>696</v>
      </c>
      <c r="B155" s="15" t="s">
        <v>89</v>
      </c>
      <c r="C155" s="15" t="s">
        <v>91</v>
      </c>
      <c r="D155" s="15" t="s">
        <v>914</v>
      </c>
      <c r="E155" s="15" t="s">
        <v>183</v>
      </c>
      <c r="F155" s="15" t="s">
        <v>94</v>
      </c>
      <c r="G155" s="15" t="s">
        <v>91</v>
      </c>
      <c r="H155" s="15" t="s">
        <v>185</v>
      </c>
      <c r="I155" s="15" t="s">
        <v>41</v>
      </c>
      <c r="J155" s="15" t="s">
        <v>181</v>
      </c>
      <c r="K155" s="15" t="s">
        <v>98</v>
      </c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7"/>
      <c r="X155" s="17"/>
      <c r="Y155" s="17"/>
      <c r="Z155" s="17"/>
    </row>
    <row r="156" ht="15.75" customHeight="1">
      <c r="A156" s="15" t="s">
        <v>696</v>
      </c>
      <c r="B156" s="15" t="s">
        <v>89</v>
      </c>
      <c r="C156" s="15" t="s">
        <v>91</v>
      </c>
      <c r="D156" s="15" t="s">
        <v>922</v>
      </c>
      <c r="E156" s="15" t="s">
        <v>923</v>
      </c>
      <c r="F156" s="15" t="s">
        <v>94</v>
      </c>
      <c r="G156" s="15" t="s">
        <v>91</v>
      </c>
      <c r="H156" s="15" t="s">
        <v>924</v>
      </c>
      <c r="I156" s="15" t="s">
        <v>41</v>
      </c>
      <c r="J156" s="15" t="s">
        <v>925</v>
      </c>
      <c r="K156" s="15" t="s">
        <v>98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7"/>
      <c r="X156" s="17"/>
      <c r="Y156" s="17"/>
      <c r="Z156" s="17"/>
    </row>
    <row r="157" ht="15.75" customHeight="1">
      <c r="A157" s="15" t="s">
        <v>696</v>
      </c>
      <c r="B157" s="15" t="s">
        <v>89</v>
      </c>
      <c r="C157" s="15" t="s">
        <v>91</v>
      </c>
      <c r="D157" s="15" t="s">
        <v>607</v>
      </c>
      <c r="E157" s="15" t="s">
        <v>613</v>
      </c>
      <c r="F157" s="15" t="s">
        <v>94</v>
      </c>
      <c r="G157" s="15" t="s">
        <v>91</v>
      </c>
      <c r="H157" s="15" t="s">
        <v>619</v>
      </c>
      <c r="I157" s="15" t="s">
        <v>41</v>
      </c>
      <c r="J157" s="15" t="s">
        <v>605</v>
      </c>
      <c r="K157" s="15" t="s">
        <v>98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7"/>
      <c r="X157" s="17"/>
      <c r="Y157" s="17"/>
      <c r="Z157" s="17"/>
    </row>
    <row r="158" ht="15.75" customHeight="1">
      <c r="A158" s="15" t="s">
        <v>696</v>
      </c>
      <c r="B158" s="15" t="s">
        <v>89</v>
      </c>
      <c r="C158" s="15" t="s">
        <v>91</v>
      </c>
      <c r="D158" s="15" t="s">
        <v>934</v>
      </c>
      <c r="E158" s="15" t="s">
        <v>935</v>
      </c>
      <c r="F158" s="15" t="s">
        <v>94</v>
      </c>
      <c r="G158" s="15" t="s">
        <v>91</v>
      </c>
      <c r="H158" s="15" t="s">
        <v>938</v>
      </c>
      <c r="I158" s="15" t="s">
        <v>41</v>
      </c>
      <c r="J158" s="15" t="s">
        <v>939</v>
      </c>
      <c r="K158" s="15" t="s">
        <v>98</v>
      </c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7"/>
      <c r="X158" s="17"/>
      <c r="Y158" s="17"/>
      <c r="Z158" s="17"/>
    </row>
    <row r="159" ht="15.75" customHeight="1">
      <c r="A159" s="15" t="s">
        <v>696</v>
      </c>
      <c r="B159" s="15" t="s">
        <v>744</v>
      </c>
      <c r="C159" s="15" t="s">
        <v>747</v>
      </c>
      <c r="D159" s="15" t="s">
        <v>744</v>
      </c>
      <c r="E159" s="15" t="s">
        <v>753</v>
      </c>
      <c r="F159" s="15" t="s">
        <v>38</v>
      </c>
      <c r="G159" s="15" t="s">
        <v>754</v>
      </c>
      <c r="H159" s="15" t="s">
        <v>755</v>
      </c>
      <c r="I159" s="15" t="s">
        <v>41</v>
      </c>
      <c r="J159" s="15" t="s">
        <v>756</v>
      </c>
      <c r="K159" s="15" t="s">
        <v>85</v>
      </c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7"/>
      <c r="X159" s="17"/>
      <c r="Y159" s="17"/>
      <c r="Z159" s="17"/>
    </row>
    <row r="160" ht="15.75" customHeight="1">
      <c r="A160" s="15" t="s">
        <v>696</v>
      </c>
      <c r="B160" s="15" t="s">
        <v>762</v>
      </c>
      <c r="C160" s="15" t="s">
        <v>763</v>
      </c>
      <c r="D160" s="15" t="s">
        <v>762</v>
      </c>
      <c r="E160" s="15" t="s">
        <v>765</v>
      </c>
      <c r="F160" s="15" t="s">
        <v>38</v>
      </c>
      <c r="G160" s="15" t="s">
        <v>767</v>
      </c>
      <c r="H160" s="15" t="s">
        <v>768</v>
      </c>
      <c r="I160" s="15" t="s">
        <v>41</v>
      </c>
      <c r="J160" s="15" t="s">
        <v>769</v>
      </c>
      <c r="K160" s="15" t="s">
        <v>85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7"/>
      <c r="X160" s="17"/>
      <c r="Y160" s="17"/>
      <c r="Z160" s="17"/>
    </row>
    <row r="161" ht="15.75" customHeight="1">
      <c r="A161" s="15" t="s">
        <v>696</v>
      </c>
      <c r="B161" s="15" t="s">
        <v>771</v>
      </c>
      <c r="C161" s="15" t="s">
        <v>772</v>
      </c>
      <c r="D161" s="15" t="s">
        <v>950</v>
      </c>
      <c r="E161" s="15" t="s">
        <v>771</v>
      </c>
      <c r="F161" s="15" t="s">
        <v>38</v>
      </c>
      <c r="G161" s="15" t="s">
        <v>773</v>
      </c>
      <c r="H161" s="15" t="s">
        <v>774</v>
      </c>
      <c r="I161" s="15" t="s">
        <v>41</v>
      </c>
      <c r="J161" s="15" t="s">
        <v>775</v>
      </c>
      <c r="K161" s="15" t="s">
        <v>85</v>
      </c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7"/>
      <c r="X161" s="17"/>
      <c r="Y161" s="17"/>
      <c r="Z161" s="17"/>
    </row>
    <row r="162" ht="15.75" customHeight="1">
      <c r="A162" s="15" t="s">
        <v>696</v>
      </c>
      <c r="B162" s="15" t="s">
        <v>778</v>
      </c>
      <c r="C162" s="15" t="s">
        <v>779</v>
      </c>
      <c r="D162" s="15" t="s">
        <v>778</v>
      </c>
      <c r="E162" s="15" t="s">
        <v>780</v>
      </c>
      <c r="F162" s="15" t="s">
        <v>38</v>
      </c>
      <c r="G162" s="15" t="s">
        <v>782</v>
      </c>
      <c r="H162" s="15" t="s">
        <v>783</v>
      </c>
      <c r="I162" s="15" t="s">
        <v>41</v>
      </c>
      <c r="J162" s="15" t="s">
        <v>784</v>
      </c>
      <c r="K162" s="15" t="s">
        <v>85</v>
      </c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7"/>
      <c r="X162" s="17"/>
      <c r="Y162" s="17"/>
      <c r="Z162" s="17"/>
    </row>
    <row r="163" ht="15.75" customHeight="1">
      <c r="A163" s="15" t="s">
        <v>696</v>
      </c>
      <c r="B163" s="15" t="s">
        <v>790</v>
      </c>
      <c r="C163" s="15" t="s">
        <v>792</v>
      </c>
      <c r="D163" s="15" t="s">
        <v>790</v>
      </c>
      <c r="E163" s="15" t="s">
        <v>794</v>
      </c>
      <c r="F163" s="15" t="s">
        <v>38</v>
      </c>
      <c r="G163" s="15" t="s">
        <v>795</v>
      </c>
      <c r="H163" s="15" t="s">
        <v>796</v>
      </c>
      <c r="I163" s="15" t="s">
        <v>41</v>
      </c>
      <c r="J163" s="15" t="s">
        <v>797</v>
      </c>
      <c r="K163" s="15" t="s">
        <v>223</v>
      </c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7"/>
      <c r="X163" s="17"/>
      <c r="Y163" s="17"/>
      <c r="Z163" s="17"/>
    </row>
    <row r="164" ht="15.75" customHeight="1">
      <c r="A164" s="15" t="s">
        <v>696</v>
      </c>
      <c r="B164" s="15" t="s">
        <v>89</v>
      </c>
      <c r="C164" s="15" t="s">
        <v>91</v>
      </c>
      <c r="D164" s="15" t="s">
        <v>790</v>
      </c>
      <c r="E164" s="15" t="s">
        <v>794</v>
      </c>
      <c r="F164" s="15" t="s">
        <v>94</v>
      </c>
      <c r="G164" s="15" t="s">
        <v>91</v>
      </c>
      <c r="H164" s="15" t="s">
        <v>962</v>
      </c>
      <c r="I164" s="15" t="s">
        <v>41</v>
      </c>
      <c r="J164" s="15" t="s">
        <v>797</v>
      </c>
      <c r="K164" s="15" t="s">
        <v>98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7"/>
      <c r="X164" s="17"/>
      <c r="Y164" s="17"/>
      <c r="Z164" s="17"/>
    </row>
    <row r="165" ht="15.75" customHeight="1">
      <c r="A165" s="15" t="s">
        <v>696</v>
      </c>
      <c r="B165" s="15" t="s">
        <v>801</v>
      </c>
      <c r="C165" s="15" t="s">
        <v>802</v>
      </c>
      <c r="D165" s="15" t="s">
        <v>801</v>
      </c>
      <c r="E165" s="15" t="s">
        <v>804</v>
      </c>
      <c r="F165" s="15" t="s">
        <v>38</v>
      </c>
      <c r="G165" s="15" t="s">
        <v>805</v>
      </c>
      <c r="H165" s="15" t="s">
        <v>807</v>
      </c>
      <c r="I165" s="15" t="s">
        <v>41</v>
      </c>
      <c r="J165" s="15" t="s">
        <v>809</v>
      </c>
      <c r="K165" s="15" t="s">
        <v>85</v>
      </c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7"/>
      <c r="X165" s="17"/>
      <c r="Y165" s="17"/>
      <c r="Z165" s="17"/>
    </row>
    <row r="166" ht="15.75" customHeight="1">
      <c r="A166" s="15" t="s">
        <v>696</v>
      </c>
      <c r="B166" s="15" t="s">
        <v>818</v>
      </c>
      <c r="C166" s="15" t="s">
        <v>819</v>
      </c>
      <c r="D166" s="15" t="s">
        <v>970</v>
      </c>
      <c r="E166" s="15" t="s">
        <v>818</v>
      </c>
      <c r="F166" s="15" t="s">
        <v>38</v>
      </c>
      <c r="G166" s="15" t="s">
        <v>823</v>
      </c>
      <c r="H166" s="15" t="s">
        <v>649</v>
      </c>
      <c r="I166" s="15" t="s">
        <v>41</v>
      </c>
      <c r="J166" s="15" t="s">
        <v>627</v>
      </c>
      <c r="K166" s="15" t="s">
        <v>85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7"/>
      <c r="X166" s="17"/>
      <c r="Y166" s="17"/>
      <c r="Z166" s="17"/>
    </row>
    <row r="167" ht="15.75" customHeight="1">
      <c r="A167" s="15" t="s">
        <v>696</v>
      </c>
      <c r="B167" s="15" t="s">
        <v>810</v>
      </c>
      <c r="C167" s="15" t="s">
        <v>829</v>
      </c>
      <c r="D167" s="15" t="s">
        <v>810</v>
      </c>
      <c r="E167" s="15" t="s">
        <v>814</v>
      </c>
      <c r="F167" s="15" t="s">
        <v>38</v>
      </c>
      <c r="G167" s="15" t="s">
        <v>831</v>
      </c>
      <c r="H167" s="15" t="s">
        <v>827</v>
      </c>
      <c r="I167" s="15" t="s">
        <v>41</v>
      </c>
      <c r="J167" s="15" t="s">
        <v>803</v>
      </c>
      <c r="K167" s="15" t="s">
        <v>85</v>
      </c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7"/>
      <c r="X167" s="17"/>
      <c r="Y167" s="17"/>
      <c r="Z167" s="17"/>
    </row>
    <row r="168" ht="15.75" customHeight="1">
      <c r="A168" s="15" t="s">
        <v>696</v>
      </c>
      <c r="B168" s="15" t="s">
        <v>836</v>
      </c>
      <c r="C168" s="15" t="s">
        <v>837</v>
      </c>
      <c r="D168" s="15" t="s">
        <v>981</v>
      </c>
      <c r="E168" s="15" t="s">
        <v>836</v>
      </c>
      <c r="F168" s="15" t="s">
        <v>38</v>
      </c>
      <c r="G168" s="15" t="s">
        <v>840</v>
      </c>
      <c r="H168" s="15" t="s">
        <v>842</v>
      </c>
      <c r="I168" s="15" t="s">
        <v>41</v>
      </c>
      <c r="J168" s="15" t="s">
        <v>845</v>
      </c>
      <c r="K168" s="15" t="s">
        <v>85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7"/>
      <c r="X168" s="17"/>
      <c r="Y168" s="17"/>
      <c r="Z168" s="17"/>
    </row>
    <row r="169" ht="15.75" customHeight="1">
      <c r="A169" s="15" t="s">
        <v>696</v>
      </c>
      <c r="B169" s="15" t="s">
        <v>89</v>
      </c>
      <c r="C169" s="15" t="s">
        <v>91</v>
      </c>
      <c r="D169" s="15" t="s">
        <v>848</v>
      </c>
      <c r="E169" s="15" t="s">
        <v>852</v>
      </c>
      <c r="F169" s="15" t="s">
        <v>94</v>
      </c>
      <c r="G169" s="15" t="s">
        <v>91</v>
      </c>
      <c r="H169" s="15" t="s">
        <v>987</v>
      </c>
      <c r="I169" s="15" t="s">
        <v>41</v>
      </c>
      <c r="J169" s="15" t="s">
        <v>989</v>
      </c>
      <c r="K169" s="15" t="s">
        <v>98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7"/>
      <c r="X169" s="17"/>
      <c r="Y169" s="17"/>
      <c r="Z169" s="17"/>
    </row>
    <row r="170" ht="15.75" customHeight="1">
      <c r="A170" s="15" t="s">
        <v>696</v>
      </c>
      <c r="B170" s="15" t="s">
        <v>848</v>
      </c>
      <c r="C170" s="15" t="s">
        <v>849</v>
      </c>
      <c r="D170" s="15" t="s">
        <v>848</v>
      </c>
      <c r="E170" s="15" t="s">
        <v>852</v>
      </c>
      <c r="F170" s="15" t="s">
        <v>38</v>
      </c>
      <c r="G170" s="15" t="s">
        <v>853</v>
      </c>
      <c r="H170" s="15" t="s">
        <v>855</v>
      </c>
      <c r="I170" s="15" t="s">
        <v>41</v>
      </c>
      <c r="J170" s="15" t="s">
        <v>856</v>
      </c>
      <c r="K170" s="15" t="s">
        <v>223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7"/>
      <c r="X170" s="17"/>
      <c r="Y170" s="17"/>
      <c r="Z170" s="17"/>
    </row>
    <row r="171" ht="15.75" customHeight="1">
      <c r="A171" s="15" t="s">
        <v>696</v>
      </c>
      <c r="B171" s="15" t="s">
        <v>864</v>
      </c>
      <c r="C171" s="15" t="s">
        <v>865</v>
      </c>
      <c r="D171" s="15" t="s">
        <v>864</v>
      </c>
      <c r="E171" s="15" t="s">
        <v>866</v>
      </c>
      <c r="F171" s="15" t="s">
        <v>38</v>
      </c>
      <c r="G171" s="15" t="s">
        <v>867</v>
      </c>
      <c r="H171" s="15" t="s">
        <v>868</v>
      </c>
      <c r="I171" s="15" t="s">
        <v>41</v>
      </c>
      <c r="J171" s="15" t="s">
        <v>869</v>
      </c>
      <c r="K171" s="15" t="s">
        <v>85</v>
      </c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7"/>
      <c r="X171" s="17"/>
      <c r="Y171" s="17"/>
      <c r="Z171" s="17"/>
    </row>
    <row r="172" ht="15.75" customHeight="1">
      <c r="A172" s="15" t="s">
        <v>696</v>
      </c>
      <c r="B172" s="15" t="s">
        <v>874</v>
      </c>
      <c r="C172" s="15" t="s">
        <v>875</v>
      </c>
      <c r="D172" s="15" t="s">
        <v>874</v>
      </c>
      <c r="E172" s="15" t="s">
        <v>880</v>
      </c>
      <c r="F172" s="15" t="s">
        <v>38</v>
      </c>
      <c r="G172" s="15" t="s">
        <v>882</v>
      </c>
      <c r="H172" s="15" t="s">
        <v>883</v>
      </c>
      <c r="I172" s="15" t="s">
        <v>41</v>
      </c>
      <c r="J172" s="15" t="s">
        <v>884</v>
      </c>
      <c r="K172" s="15" t="s">
        <v>85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7"/>
      <c r="X172" s="17"/>
      <c r="Y172" s="17"/>
      <c r="Z172" s="17"/>
    </row>
    <row r="173" ht="15.75" customHeight="1">
      <c r="A173" s="15" t="s">
        <v>696</v>
      </c>
      <c r="B173" s="15" t="s">
        <v>888</v>
      </c>
      <c r="C173" s="15" t="s">
        <v>889</v>
      </c>
      <c r="D173" s="15" t="s">
        <v>888</v>
      </c>
      <c r="E173" s="15" t="s">
        <v>890</v>
      </c>
      <c r="F173" s="15" t="s">
        <v>38</v>
      </c>
      <c r="G173" s="15" t="s">
        <v>892</v>
      </c>
      <c r="H173" s="15" t="s">
        <v>893</v>
      </c>
      <c r="I173" s="15" t="s">
        <v>41</v>
      </c>
      <c r="J173" s="15" t="s">
        <v>894</v>
      </c>
      <c r="K173" s="15" t="s">
        <v>85</v>
      </c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7"/>
      <c r="X173" s="17"/>
      <c r="Y173" s="17"/>
      <c r="Z173" s="17"/>
    </row>
    <row r="174" ht="15.75" customHeight="1">
      <c r="A174" s="15" t="s">
        <v>696</v>
      </c>
      <c r="B174" s="15" t="s">
        <v>89</v>
      </c>
      <c r="C174" s="15" t="s">
        <v>91</v>
      </c>
      <c r="D174" s="15" t="s">
        <v>888</v>
      </c>
      <c r="E174" s="15" t="s">
        <v>890</v>
      </c>
      <c r="F174" s="15" t="s">
        <v>94</v>
      </c>
      <c r="G174" s="15" t="s">
        <v>91</v>
      </c>
      <c r="H174" s="15" t="s">
        <v>1000</v>
      </c>
      <c r="I174" s="15" t="s">
        <v>41</v>
      </c>
      <c r="J174" s="15" t="s">
        <v>1002</v>
      </c>
      <c r="K174" s="15" t="s">
        <v>98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7"/>
      <c r="X174" s="17"/>
      <c r="Y174" s="17"/>
      <c r="Z174" s="17"/>
    </row>
    <row r="175" ht="15.75" customHeight="1">
      <c r="A175" s="15" t="s">
        <v>696</v>
      </c>
      <c r="B175" s="15" t="s">
        <v>899</v>
      </c>
      <c r="C175" s="15" t="s">
        <v>900</v>
      </c>
      <c r="D175" s="15" t="s">
        <v>899</v>
      </c>
      <c r="E175" s="15" t="s">
        <v>904</v>
      </c>
      <c r="F175" s="15" t="s">
        <v>38</v>
      </c>
      <c r="G175" s="15" t="s">
        <v>906</v>
      </c>
      <c r="H175" s="15" t="s">
        <v>907</v>
      </c>
      <c r="I175" s="15" t="s">
        <v>41</v>
      </c>
      <c r="J175" s="15" t="s">
        <v>908</v>
      </c>
      <c r="K175" s="15" t="s">
        <v>85</v>
      </c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7"/>
      <c r="X175" s="17"/>
      <c r="Y175" s="17"/>
      <c r="Z175" s="17"/>
    </row>
    <row r="176" ht="15.75" customHeight="1">
      <c r="A176" s="15" t="s">
        <v>696</v>
      </c>
      <c r="B176" s="15" t="s">
        <v>913</v>
      </c>
      <c r="C176" s="15" t="s">
        <v>915</v>
      </c>
      <c r="D176" s="15" t="s">
        <v>913</v>
      </c>
      <c r="E176" s="15" t="s">
        <v>917</v>
      </c>
      <c r="F176" s="15" t="s">
        <v>38</v>
      </c>
      <c r="G176" s="15" t="s">
        <v>918</v>
      </c>
      <c r="H176" s="15" t="s">
        <v>919</v>
      </c>
      <c r="I176" s="15" t="s">
        <v>41</v>
      </c>
      <c r="J176" s="15" t="s">
        <v>920</v>
      </c>
      <c r="K176" s="15" t="s">
        <v>85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7"/>
      <c r="X176" s="17"/>
      <c r="Y176" s="17"/>
      <c r="Z176" s="17"/>
    </row>
    <row r="177" ht="15.75" customHeight="1">
      <c r="A177" s="15" t="s">
        <v>696</v>
      </c>
      <c r="B177" s="15" t="s">
        <v>89</v>
      </c>
      <c r="C177" s="15" t="s">
        <v>91</v>
      </c>
      <c r="D177" s="15" t="s">
        <v>1007</v>
      </c>
      <c r="E177" s="15" t="s">
        <v>1008</v>
      </c>
      <c r="F177" s="15" t="s">
        <v>94</v>
      </c>
      <c r="G177" s="15" t="s">
        <v>91</v>
      </c>
      <c r="H177" s="15" t="s">
        <v>1011</v>
      </c>
      <c r="I177" s="15" t="s">
        <v>41</v>
      </c>
      <c r="J177" s="15" t="s">
        <v>1012</v>
      </c>
      <c r="K177" s="15" t="s">
        <v>98</v>
      </c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7"/>
      <c r="X177" s="17"/>
      <c r="Y177" s="17"/>
      <c r="Z177" s="17"/>
    </row>
    <row r="178" ht="15.75" customHeight="1">
      <c r="A178" s="15" t="s">
        <v>696</v>
      </c>
      <c r="B178" s="15" t="s">
        <v>926</v>
      </c>
      <c r="C178" s="15" t="s">
        <v>927</v>
      </c>
      <c r="D178" s="15" t="s">
        <v>926</v>
      </c>
      <c r="E178" s="15" t="s">
        <v>928</v>
      </c>
      <c r="F178" s="15" t="s">
        <v>38</v>
      </c>
      <c r="G178" s="15" t="s">
        <v>929</v>
      </c>
      <c r="H178" s="15" t="s">
        <v>930</v>
      </c>
      <c r="I178" s="15" t="s">
        <v>41</v>
      </c>
      <c r="J178" s="15" t="s">
        <v>931</v>
      </c>
      <c r="K178" s="15" t="s">
        <v>85</v>
      </c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7"/>
      <c r="X178" s="17"/>
      <c r="Y178" s="17"/>
      <c r="Z178" s="17"/>
    </row>
    <row r="179" ht="15.75" customHeight="1">
      <c r="A179" s="15" t="s">
        <v>696</v>
      </c>
      <c r="B179" s="15" t="s">
        <v>936</v>
      </c>
      <c r="C179" s="15" t="s">
        <v>937</v>
      </c>
      <c r="D179" s="15" t="s">
        <v>936</v>
      </c>
      <c r="E179" s="15" t="s">
        <v>940</v>
      </c>
      <c r="F179" s="15" t="s">
        <v>38</v>
      </c>
      <c r="G179" s="15" t="s">
        <v>941</v>
      </c>
      <c r="H179" s="15" t="s">
        <v>263</v>
      </c>
      <c r="I179" s="15" t="s">
        <v>41</v>
      </c>
      <c r="J179" s="15" t="s">
        <v>257</v>
      </c>
      <c r="K179" s="15" t="s">
        <v>85</v>
      </c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7"/>
      <c r="X179" s="17"/>
      <c r="Y179" s="17"/>
      <c r="Z179" s="17"/>
    </row>
    <row r="180" ht="15.75" customHeight="1">
      <c r="A180" s="15" t="s">
        <v>696</v>
      </c>
      <c r="B180" s="15" t="s">
        <v>944</v>
      </c>
      <c r="C180" s="15" t="s">
        <v>946</v>
      </c>
      <c r="D180" s="15" t="s">
        <v>944</v>
      </c>
      <c r="E180" s="15" t="s">
        <v>947</v>
      </c>
      <c r="F180" s="15" t="s">
        <v>38</v>
      </c>
      <c r="G180" s="15" t="s">
        <v>948</v>
      </c>
      <c r="H180" s="15" t="s">
        <v>916</v>
      </c>
      <c r="I180" s="15" t="s">
        <v>41</v>
      </c>
      <c r="J180" s="15" t="s">
        <v>911</v>
      </c>
      <c r="K180" s="15" t="s">
        <v>85</v>
      </c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7"/>
      <c r="X180" s="17"/>
      <c r="Y180" s="17"/>
      <c r="Z180" s="17"/>
    </row>
    <row r="181" ht="15.75" customHeight="1">
      <c r="A181" s="15" t="s">
        <v>696</v>
      </c>
      <c r="B181" s="15" t="s">
        <v>89</v>
      </c>
      <c r="C181" s="15" t="s">
        <v>91</v>
      </c>
      <c r="D181" s="15" t="s">
        <v>1023</v>
      </c>
      <c r="E181" s="15" t="s">
        <v>1024</v>
      </c>
      <c r="F181" s="15" t="s">
        <v>94</v>
      </c>
      <c r="G181" s="15" t="s">
        <v>91</v>
      </c>
      <c r="H181" s="15" t="s">
        <v>1025</v>
      </c>
      <c r="I181" s="15" t="s">
        <v>41</v>
      </c>
      <c r="J181" s="15" t="s">
        <v>1027</v>
      </c>
      <c r="K181" s="15" t="s">
        <v>98</v>
      </c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7"/>
      <c r="X181" s="17"/>
      <c r="Y181" s="17"/>
      <c r="Z181" s="17"/>
    </row>
    <row r="182" ht="15.75" customHeight="1">
      <c r="A182" s="15" t="s">
        <v>696</v>
      </c>
      <c r="B182" s="15" t="s">
        <v>89</v>
      </c>
      <c r="C182" s="15" t="s">
        <v>91</v>
      </c>
      <c r="D182" s="15" t="s">
        <v>1031</v>
      </c>
      <c r="E182" s="15" t="s">
        <v>1032</v>
      </c>
      <c r="F182" s="15" t="s">
        <v>94</v>
      </c>
      <c r="G182" s="15" t="s">
        <v>91</v>
      </c>
      <c r="H182" s="15" t="s">
        <v>1033</v>
      </c>
      <c r="I182" s="15" t="s">
        <v>41</v>
      </c>
      <c r="J182" s="15" t="s">
        <v>1034</v>
      </c>
      <c r="K182" s="15" t="s">
        <v>98</v>
      </c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7"/>
      <c r="X182" s="17"/>
      <c r="Y182" s="17"/>
      <c r="Z182" s="17"/>
    </row>
    <row r="183" ht="15.75" customHeight="1">
      <c r="A183" s="15" t="s">
        <v>696</v>
      </c>
      <c r="B183" s="15" t="s">
        <v>89</v>
      </c>
      <c r="C183" s="15" t="s">
        <v>91</v>
      </c>
      <c r="D183" s="15" t="s">
        <v>1041</v>
      </c>
      <c r="E183" s="15" t="s">
        <v>1044</v>
      </c>
      <c r="F183" s="15" t="s">
        <v>94</v>
      </c>
      <c r="G183" s="15" t="s">
        <v>91</v>
      </c>
      <c r="H183" s="15" t="s">
        <v>1046</v>
      </c>
      <c r="I183" s="15" t="s">
        <v>41</v>
      </c>
      <c r="J183" s="15" t="s">
        <v>1048</v>
      </c>
      <c r="K183" s="15" t="s">
        <v>98</v>
      </c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7"/>
      <c r="X183" s="17"/>
      <c r="Y183" s="17"/>
      <c r="Z183" s="17"/>
    </row>
    <row r="184" ht="15.75" customHeight="1">
      <c r="A184" s="15" t="s">
        <v>696</v>
      </c>
      <c r="B184" s="15" t="s">
        <v>89</v>
      </c>
      <c r="C184" s="15" t="s">
        <v>91</v>
      </c>
      <c r="D184" s="15" t="s">
        <v>1049</v>
      </c>
      <c r="E184" s="15" t="s">
        <v>1050</v>
      </c>
      <c r="F184" s="15" t="s">
        <v>94</v>
      </c>
      <c r="G184" s="15" t="s">
        <v>91</v>
      </c>
      <c r="H184" s="15" t="s">
        <v>1055</v>
      </c>
      <c r="I184" s="15" t="s">
        <v>41</v>
      </c>
      <c r="J184" s="15" t="s">
        <v>1057</v>
      </c>
      <c r="K184" s="15" t="s">
        <v>98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7"/>
      <c r="X184" s="17"/>
      <c r="Y184" s="17"/>
      <c r="Z184" s="17"/>
    </row>
    <row r="185" ht="15.75" customHeight="1">
      <c r="A185" s="15" t="s">
        <v>696</v>
      </c>
      <c r="B185" s="15" t="s">
        <v>954</v>
      </c>
      <c r="C185" s="15" t="s">
        <v>955</v>
      </c>
      <c r="D185" s="15" t="s">
        <v>496</v>
      </c>
      <c r="E185" s="15" t="s">
        <v>954</v>
      </c>
      <c r="F185" s="15" t="s">
        <v>38</v>
      </c>
      <c r="G185" s="15" t="s">
        <v>956</v>
      </c>
      <c r="H185" s="15" t="s">
        <v>957</v>
      </c>
      <c r="I185" s="15" t="s">
        <v>41</v>
      </c>
      <c r="J185" s="15" t="s">
        <v>495</v>
      </c>
      <c r="K185" s="15" t="s">
        <v>223</v>
      </c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7"/>
      <c r="X185" s="17"/>
      <c r="Y185" s="17"/>
      <c r="Z185" s="17"/>
    </row>
    <row r="186" ht="15.75" customHeight="1">
      <c r="A186" s="15" t="s">
        <v>696</v>
      </c>
      <c r="B186" s="15" t="s">
        <v>89</v>
      </c>
      <c r="C186" s="15" t="s">
        <v>91</v>
      </c>
      <c r="D186" s="15" t="s">
        <v>496</v>
      </c>
      <c r="E186" s="15" t="s">
        <v>505</v>
      </c>
      <c r="F186" s="15" t="s">
        <v>94</v>
      </c>
      <c r="G186" s="15" t="s">
        <v>91</v>
      </c>
      <c r="H186" s="15" t="s">
        <v>518</v>
      </c>
      <c r="I186" s="15" t="s">
        <v>41</v>
      </c>
      <c r="J186" s="15" t="s">
        <v>495</v>
      </c>
      <c r="K186" s="15" t="s">
        <v>98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7"/>
      <c r="X186" s="17"/>
      <c r="Y186" s="17"/>
      <c r="Z186" s="17"/>
    </row>
    <row r="187" ht="15.75" customHeight="1">
      <c r="A187" s="15" t="s">
        <v>696</v>
      </c>
      <c r="B187" s="15" t="s">
        <v>959</v>
      </c>
      <c r="C187" s="15" t="s">
        <v>960</v>
      </c>
      <c r="D187" s="15" t="s">
        <v>863</v>
      </c>
      <c r="E187" s="15" t="s">
        <v>959</v>
      </c>
      <c r="F187" s="15" t="s">
        <v>38</v>
      </c>
      <c r="G187" s="15" t="s">
        <v>961</v>
      </c>
      <c r="H187" s="15" t="s">
        <v>891</v>
      </c>
      <c r="I187" s="15" t="s">
        <v>41</v>
      </c>
      <c r="J187" s="15" t="s">
        <v>861</v>
      </c>
      <c r="K187" s="15" t="s">
        <v>85</v>
      </c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7"/>
      <c r="X187" s="17"/>
      <c r="Y187" s="17"/>
      <c r="Z187" s="17"/>
    </row>
    <row r="188" ht="15.75" customHeight="1">
      <c r="A188" s="15" t="s">
        <v>696</v>
      </c>
      <c r="B188" s="15" t="s">
        <v>89</v>
      </c>
      <c r="C188" s="15" t="s">
        <v>91</v>
      </c>
      <c r="D188" s="15" t="s">
        <v>1075</v>
      </c>
      <c r="E188" s="15" t="s">
        <v>1077</v>
      </c>
      <c r="F188" s="15" t="s">
        <v>94</v>
      </c>
      <c r="G188" s="15" t="s">
        <v>91</v>
      </c>
      <c r="H188" s="15" t="s">
        <v>1078</v>
      </c>
      <c r="I188" s="15" t="s">
        <v>41</v>
      </c>
      <c r="J188" s="15" t="s">
        <v>1079</v>
      </c>
      <c r="K188" s="15" t="s">
        <v>98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7"/>
      <c r="X188" s="17"/>
      <c r="Y188" s="17"/>
      <c r="Z188" s="17"/>
    </row>
    <row r="189" ht="15.75" customHeight="1">
      <c r="A189" s="15" t="s">
        <v>696</v>
      </c>
      <c r="B189" s="15" t="s">
        <v>963</v>
      </c>
      <c r="C189" s="15" t="s">
        <v>964</v>
      </c>
      <c r="D189" s="15" t="s">
        <v>963</v>
      </c>
      <c r="E189" s="15" t="s">
        <v>967</v>
      </c>
      <c r="F189" s="15" t="s">
        <v>38</v>
      </c>
      <c r="G189" s="15" t="s">
        <v>968</v>
      </c>
      <c r="H189" s="15" t="s">
        <v>969</v>
      </c>
      <c r="I189" s="15" t="s">
        <v>41</v>
      </c>
      <c r="J189" s="15" t="s">
        <v>971</v>
      </c>
      <c r="K189" s="15" t="s">
        <v>85</v>
      </c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7"/>
      <c r="X189" s="17"/>
      <c r="Y189" s="17"/>
      <c r="Z189" s="17"/>
    </row>
    <row r="190" ht="15.75" customHeight="1">
      <c r="A190" s="15" t="s">
        <v>696</v>
      </c>
      <c r="B190" s="15" t="s">
        <v>974</v>
      </c>
      <c r="C190" s="15" t="s">
        <v>975</v>
      </c>
      <c r="D190" s="15" t="s">
        <v>974</v>
      </c>
      <c r="E190" s="15" t="s">
        <v>977</v>
      </c>
      <c r="F190" s="15" t="s">
        <v>38</v>
      </c>
      <c r="G190" s="15" t="s">
        <v>978</v>
      </c>
      <c r="H190" s="15" t="s">
        <v>979</v>
      </c>
      <c r="I190" s="15" t="s">
        <v>41</v>
      </c>
      <c r="J190" s="15" t="s">
        <v>980</v>
      </c>
      <c r="K190" s="15" t="s">
        <v>223</v>
      </c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7"/>
      <c r="X190" s="17"/>
      <c r="Y190" s="17"/>
      <c r="Z190" s="17"/>
    </row>
    <row r="191" ht="15.75" customHeight="1">
      <c r="A191" s="15" t="s">
        <v>696</v>
      </c>
      <c r="B191" s="15" t="s">
        <v>89</v>
      </c>
      <c r="C191" s="15" t="s">
        <v>91</v>
      </c>
      <c r="D191" s="15" t="s">
        <v>1084</v>
      </c>
      <c r="E191" s="15" t="s">
        <v>1085</v>
      </c>
      <c r="F191" s="15" t="s">
        <v>94</v>
      </c>
      <c r="G191" s="15" t="s">
        <v>91</v>
      </c>
      <c r="H191" s="15" t="s">
        <v>1087</v>
      </c>
      <c r="I191" s="15" t="s">
        <v>41</v>
      </c>
      <c r="J191" s="15" t="s">
        <v>980</v>
      </c>
      <c r="K191" s="15" t="s">
        <v>98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7"/>
      <c r="X191" s="17"/>
      <c r="Y191" s="17"/>
      <c r="Z191" s="17"/>
    </row>
    <row r="192" ht="15.75" customHeight="1">
      <c r="A192" s="15" t="s">
        <v>696</v>
      </c>
      <c r="B192" s="15" t="s">
        <v>982</v>
      </c>
      <c r="C192" s="15" t="s">
        <v>983</v>
      </c>
      <c r="D192" s="15" t="s">
        <v>982</v>
      </c>
      <c r="E192" s="15" t="s">
        <v>984</v>
      </c>
      <c r="F192" s="15" t="s">
        <v>38</v>
      </c>
      <c r="G192" s="15" t="s">
        <v>985</v>
      </c>
      <c r="H192" s="15" t="s">
        <v>949</v>
      </c>
      <c r="I192" s="15" t="s">
        <v>41</v>
      </c>
      <c r="J192" s="15" t="s">
        <v>943</v>
      </c>
      <c r="K192" s="15" t="s">
        <v>85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7"/>
      <c r="X192" s="17"/>
      <c r="Y192" s="17"/>
      <c r="Z192" s="17"/>
    </row>
    <row r="193" ht="15.75" customHeight="1">
      <c r="A193" s="15" t="s">
        <v>696</v>
      </c>
      <c r="B193" s="15" t="s">
        <v>89</v>
      </c>
      <c r="C193" s="15" t="s">
        <v>91</v>
      </c>
      <c r="D193" s="15" t="s">
        <v>1091</v>
      </c>
      <c r="E193" s="15" t="s">
        <v>1092</v>
      </c>
      <c r="F193" s="15" t="s">
        <v>94</v>
      </c>
      <c r="G193" s="15" t="s">
        <v>91</v>
      </c>
      <c r="H193" s="15" t="s">
        <v>1093</v>
      </c>
      <c r="I193" s="15" t="s">
        <v>41</v>
      </c>
      <c r="J193" s="15" t="s">
        <v>1094</v>
      </c>
      <c r="K193" s="15" t="s">
        <v>98</v>
      </c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7"/>
      <c r="X193" s="17"/>
      <c r="Y193" s="17"/>
      <c r="Z193" s="17"/>
    </row>
    <row r="194" ht="15.75" customHeight="1">
      <c r="A194" s="15" t="s">
        <v>696</v>
      </c>
      <c r="B194" s="15" t="s">
        <v>89</v>
      </c>
      <c r="C194" s="15" t="s">
        <v>91</v>
      </c>
      <c r="D194" s="15" t="s">
        <v>1095</v>
      </c>
      <c r="E194" s="15" t="s">
        <v>422</v>
      </c>
      <c r="F194" s="15" t="s">
        <v>94</v>
      </c>
      <c r="G194" s="15" t="s">
        <v>91</v>
      </c>
      <c r="H194" s="15" t="s">
        <v>425</v>
      </c>
      <c r="I194" s="15" t="s">
        <v>41</v>
      </c>
      <c r="J194" s="15" t="s">
        <v>421</v>
      </c>
      <c r="K194" s="15" t="s">
        <v>98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7"/>
      <c r="X194" s="17"/>
      <c r="Y194" s="17"/>
      <c r="Z194" s="17"/>
    </row>
    <row r="195" ht="15.75" customHeight="1">
      <c r="A195" s="15" t="s">
        <v>696</v>
      </c>
      <c r="B195" s="15" t="s">
        <v>991</v>
      </c>
      <c r="C195" s="15" t="s">
        <v>992</v>
      </c>
      <c r="D195" s="15" t="s">
        <v>1039</v>
      </c>
      <c r="E195" s="15" t="s">
        <v>991</v>
      </c>
      <c r="F195" s="15" t="s">
        <v>38</v>
      </c>
      <c r="G195" s="15" t="s">
        <v>993</v>
      </c>
      <c r="H195" s="15" t="s">
        <v>994</v>
      </c>
      <c r="I195" s="15" t="s">
        <v>41</v>
      </c>
      <c r="J195" s="15" t="s">
        <v>995</v>
      </c>
      <c r="K195" s="15" t="s">
        <v>85</v>
      </c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7"/>
      <c r="X195" s="17"/>
      <c r="Y195" s="17"/>
      <c r="Z195" s="17"/>
    </row>
    <row r="196" ht="15.75" customHeight="1">
      <c r="A196" s="15" t="s">
        <v>696</v>
      </c>
      <c r="B196" s="15" t="s">
        <v>997</v>
      </c>
      <c r="C196" s="15" t="s">
        <v>997</v>
      </c>
      <c r="D196" s="15" t="s">
        <v>1039</v>
      </c>
      <c r="E196" s="22" t="s">
        <v>998</v>
      </c>
      <c r="F196" s="22" t="s">
        <v>278</v>
      </c>
      <c r="G196" s="15" t="s">
        <v>999</v>
      </c>
      <c r="H196" s="15" t="s">
        <v>994</v>
      </c>
      <c r="I196" s="15" t="s">
        <v>41</v>
      </c>
      <c r="J196" s="15" t="s">
        <v>995</v>
      </c>
      <c r="K196" s="15" t="s">
        <v>85</v>
      </c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7"/>
      <c r="X196" s="17"/>
      <c r="Y196" s="17"/>
      <c r="Z196" s="17"/>
    </row>
    <row r="197" ht="15.75" customHeight="1">
      <c r="A197" s="15" t="s">
        <v>696</v>
      </c>
      <c r="B197" s="15" t="s">
        <v>1009</v>
      </c>
      <c r="C197" s="15" t="s">
        <v>1010</v>
      </c>
      <c r="D197" s="15" t="s">
        <v>1009</v>
      </c>
      <c r="E197" s="15" t="s">
        <v>1013</v>
      </c>
      <c r="F197" s="15" t="s">
        <v>38</v>
      </c>
      <c r="G197" s="15" t="s">
        <v>1015</v>
      </c>
      <c r="H197" s="15" t="s">
        <v>1016</v>
      </c>
      <c r="I197" s="15" t="s">
        <v>41</v>
      </c>
      <c r="J197" s="15" t="s">
        <v>1017</v>
      </c>
      <c r="K197" s="15" t="s">
        <v>85</v>
      </c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7"/>
      <c r="X197" s="17"/>
      <c r="Y197" s="17"/>
      <c r="Z197" s="17"/>
    </row>
    <row r="198" ht="15.75" customHeight="1">
      <c r="A198" s="15" t="s">
        <v>696</v>
      </c>
      <c r="B198" s="15" t="s">
        <v>588</v>
      </c>
      <c r="C198" s="15" t="s">
        <v>1018</v>
      </c>
      <c r="D198" s="15" t="s">
        <v>588</v>
      </c>
      <c r="E198" s="15" t="s">
        <v>595</v>
      </c>
      <c r="F198" s="15" t="s">
        <v>38</v>
      </c>
      <c r="G198" s="15" t="s">
        <v>1020</v>
      </c>
      <c r="H198" s="15" t="s">
        <v>598</v>
      </c>
      <c r="I198" s="15" t="s">
        <v>41</v>
      </c>
      <c r="J198" s="15" t="s">
        <v>587</v>
      </c>
      <c r="K198" s="15" t="s">
        <v>85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7"/>
      <c r="X198" s="17"/>
      <c r="Y198" s="17"/>
      <c r="Z198" s="17"/>
    </row>
    <row r="199" ht="15.75" customHeight="1">
      <c r="A199" s="15" t="s">
        <v>696</v>
      </c>
      <c r="B199" s="15" t="s">
        <v>89</v>
      </c>
      <c r="C199" s="15" t="s">
        <v>91</v>
      </c>
      <c r="D199" s="15" t="s">
        <v>1101</v>
      </c>
      <c r="E199" s="15" t="s">
        <v>1102</v>
      </c>
      <c r="F199" s="15" t="s">
        <v>94</v>
      </c>
      <c r="G199" s="15" t="s">
        <v>91</v>
      </c>
      <c r="H199" s="15" t="s">
        <v>1103</v>
      </c>
      <c r="I199" s="15" t="s">
        <v>41</v>
      </c>
      <c r="J199" s="15" t="s">
        <v>1104</v>
      </c>
      <c r="K199" s="15" t="s">
        <v>98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7"/>
      <c r="X199" s="17"/>
      <c r="Y199" s="17"/>
      <c r="Z199" s="17"/>
    </row>
    <row r="200" ht="15.75" customHeight="1">
      <c r="A200" s="15" t="s">
        <v>696</v>
      </c>
      <c r="B200" s="15" t="s">
        <v>1021</v>
      </c>
      <c r="C200" s="15" t="s">
        <v>1022</v>
      </c>
      <c r="D200" s="15" t="s">
        <v>1021</v>
      </c>
      <c r="E200" s="15" t="s">
        <v>1026</v>
      </c>
      <c r="F200" s="15" t="s">
        <v>38</v>
      </c>
      <c r="G200" s="15" t="s">
        <v>1028</v>
      </c>
      <c r="H200" s="15" t="s">
        <v>1029</v>
      </c>
      <c r="I200" s="15" t="s">
        <v>41</v>
      </c>
      <c r="J200" s="15" t="s">
        <v>1030</v>
      </c>
      <c r="K200" s="15" t="s">
        <v>85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7"/>
      <c r="X200" s="17"/>
      <c r="Y200" s="17"/>
      <c r="Z200" s="17"/>
    </row>
    <row r="201" ht="15.75" customHeight="1">
      <c r="A201" s="15" t="s">
        <v>696</v>
      </c>
      <c r="B201" s="15" t="s">
        <v>1037</v>
      </c>
      <c r="C201" s="15" t="s">
        <v>1038</v>
      </c>
      <c r="D201" s="15" t="s">
        <v>1037</v>
      </c>
      <c r="E201" s="15" t="s">
        <v>1040</v>
      </c>
      <c r="F201" s="15" t="s">
        <v>38</v>
      </c>
      <c r="G201" s="15" t="s">
        <v>1042</v>
      </c>
      <c r="H201" s="15" t="s">
        <v>1043</v>
      </c>
      <c r="I201" s="15" t="s">
        <v>41</v>
      </c>
      <c r="J201" s="15" t="s">
        <v>1045</v>
      </c>
      <c r="K201" s="15" t="s">
        <v>85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7"/>
      <c r="X201" s="17"/>
      <c r="Y201" s="17"/>
      <c r="Z201" s="17"/>
    </row>
    <row r="202" ht="15.75" customHeight="1">
      <c r="A202" s="15" t="s">
        <v>696</v>
      </c>
      <c r="B202" s="15" t="s">
        <v>1051</v>
      </c>
      <c r="C202" s="15" t="s">
        <v>1053</v>
      </c>
      <c r="D202" s="15" t="s">
        <v>1051</v>
      </c>
      <c r="E202" s="15" t="s">
        <v>1054</v>
      </c>
      <c r="F202" s="15" t="s">
        <v>38</v>
      </c>
      <c r="G202" s="15" t="s">
        <v>1056</v>
      </c>
      <c r="H202" s="15" t="s">
        <v>887</v>
      </c>
      <c r="I202" s="15" t="s">
        <v>41</v>
      </c>
      <c r="J202" s="15" t="s">
        <v>877</v>
      </c>
      <c r="K202" s="15" t="s">
        <v>85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7"/>
      <c r="X202" s="17"/>
      <c r="Y202" s="17"/>
      <c r="Z202" s="17"/>
    </row>
    <row r="203" ht="15.75" customHeight="1">
      <c r="A203" s="15" t="s">
        <v>696</v>
      </c>
      <c r="B203" s="15" t="s">
        <v>1058</v>
      </c>
      <c r="C203" s="15" t="s">
        <v>1059</v>
      </c>
      <c r="D203" s="15" t="s">
        <v>1051</v>
      </c>
      <c r="E203" s="15" t="s">
        <v>1060</v>
      </c>
      <c r="F203" s="15" t="s">
        <v>38</v>
      </c>
      <c r="G203" s="15" t="s">
        <v>1056</v>
      </c>
      <c r="H203" s="15" t="s">
        <v>887</v>
      </c>
      <c r="I203" s="15" t="s">
        <v>41</v>
      </c>
      <c r="J203" s="15" t="s">
        <v>877</v>
      </c>
      <c r="K203" s="15" t="s">
        <v>85</v>
      </c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7"/>
      <c r="X203" s="17"/>
      <c r="Y203" s="17"/>
      <c r="Z203" s="17"/>
    </row>
    <row r="204" ht="15.75" customHeight="1">
      <c r="A204" s="15" t="s">
        <v>696</v>
      </c>
      <c r="B204" s="15" t="s">
        <v>89</v>
      </c>
      <c r="C204" s="15" t="s">
        <v>91</v>
      </c>
      <c r="D204" s="15" t="s">
        <v>1115</v>
      </c>
      <c r="E204" s="15" t="s">
        <v>1116</v>
      </c>
      <c r="F204" s="15" t="s">
        <v>94</v>
      </c>
      <c r="G204" s="15" t="s">
        <v>91</v>
      </c>
      <c r="H204" s="15" t="s">
        <v>1117</v>
      </c>
      <c r="I204" s="15" t="s">
        <v>41</v>
      </c>
      <c r="J204" s="15" t="s">
        <v>1119</v>
      </c>
      <c r="K204" s="15" t="s">
        <v>98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7"/>
      <c r="X204" s="17"/>
      <c r="Y204" s="17"/>
      <c r="Z204" s="17"/>
    </row>
    <row r="205" ht="15.75" customHeight="1">
      <c r="A205" s="15" t="s">
        <v>696</v>
      </c>
      <c r="B205" s="15" t="s">
        <v>1064</v>
      </c>
      <c r="C205" s="15" t="s">
        <v>1065</v>
      </c>
      <c r="D205" s="15" t="s">
        <v>1064</v>
      </c>
      <c r="E205" s="15" t="s">
        <v>1066</v>
      </c>
      <c r="F205" s="15" t="s">
        <v>38</v>
      </c>
      <c r="G205" s="15" t="s">
        <v>1067</v>
      </c>
      <c r="H205" s="15" t="s">
        <v>1069</v>
      </c>
      <c r="I205" s="15" t="s">
        <v>41</v>
      </c>
      <c r="J205" s="15" t="s">
        <v>1071</v>
      </c>
      <c r="K205" s="15" t="s">
        <v>223</v>
      </c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7"/>
      <c r="X205" s="17"/>
      <c r="Y205" s="17"/>
      <c r="Z205" s="17"/>
    </row>
    <row r="206" ht="15.75" customHeight="1">
      <c r="A206" s="15" t="s">
        <v>696</v>
      </c>
      <c r="B206" s="15" t="s">
        <v>89</v>
      </c>
      <c r="C206" s="15" t="s">
        <v>91</v>
      </c>
      <c r="D206" s="15" t="s">
        <v>1121</v>
      </c>
      <c r="E206" s="15" t="s">
        <v>1123</v>
      </c>
      <c r="F206" s="15" t="s">
        <v>94</v>
      </c>
      <c r="G206" s="15" t="s">
        <v>91</v>
      </c>
      <c r="H206" s="15" t="s">
        <v>1125</v>
      </c>
      <c r="I206" s="15" t="s">
        <v>41</v>
      </c>
      <c r="J206" s="15" t="s">
        <v>1071</v>
      </c>
      <c r="K206" s="15" t="s">
        <v>98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7"/>
      <c r="X206" s="17"/>
      <c r="Y206" s="17"/>
      <c r="Z206" s="17"/>
    </row>
    <row r="207" ht="15.75" customHeight="1">
      <c r="A207" s="15" t="s">
        <v>696</v>
      </c>
      <c r="B207" s="15" t="s">
        <v>89</v>
      </c>
      <c r="C207" s="15" t="s">
        <v>91</v>
      </c>
      <c r="D207" s="15" t="s">
        <v>1131</v>
      </c>
      <c r="E207" s="15" t="s">
        <v>1133</v>
      </c>
      <c r="F207" s="15" t="s">
        <v>94</v>
      </c>
      <c r="G207" s="15" t="s">
        <v>91</v>
      </c>
      <c r="H207" s="15" t="s">
        <v>1134</v>
      </c>
      <c r="I207" s="15" t="s">
        <v>41</v>
      </c>
      <c r="J207" s="15" t="s">
        <v>1135</v>
      </c>
      <c r="K207" s="15" t="s">
        <v>98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7"/>
      <c r="X207" s="17"/>
      <c r="Y207" s="17"/>
      <c r="Z207" s="17"/>
    </row>
    <row r="208" ht="15.75" customHeight="1">
      <c r="A208" s="15" t="s">
        <v>696</v>
      </c>
      <c r="B208" s="15" t="s">
        <v>89</v>
      </c>
      <c r="C208" s="15" t="s">
        <v>91</v>
      </c>
      <c r="D208" s="15" t="s">
        <v>1136</v>
      </c>
      <c r="E208" s="15" t="s">
        <v>1006</v>
      </c>
      <c r="F208" s="15" t="s">
        <v>94</v>
      </c>
      <c r="G208" s="15" t="s">
        <v>91</v>
      </c>
      <c r="H208" s="15" t="s">
        <v>1014</v>
      </c>
      <c r="I208" s="15" t="s">
        <v>41</v>
      </c>
      <c r="J208" s="15" t="s">
        <v>1005</v>
      </c>
      <c r="K208" s="15" t="s">
        <v>98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7"/>
      <c r="X208" s="17"/>
      <c r="Y208" s="17"/>
      <c r="Z208" s="17"/>
    </row>
    <row r="209" ht="15.75" customHeight="1">
      <c r="A209" s="15" t="s">
        <v>696</v>
      </c>
      <c r="B209" s="15" t="s">
        <v>89</v>
      </c>
      <c r="C209" s="15" t="s">
        <v>91</v>
      </c>
      <c r="D209" s="15" t="s">
        <v>1144</v>
      </c>
      <c r="E209" s="15" t="s">
        <v>1145</v>
      </c>
      <c r="F209" s="15" t="s">
        <v>94</v>
      </c>
      <c r="G209" s="15" t="s">
        <v>91</v>
      </c>
      <c r="H209" s="15" t="s">
        <v>1146</v>
      </c>
      <c r="I209" s="15" t="s">
        <v>41</v>
      </c>
      <c r="J209" s="15" t="s">
        <v>1147</v>
      </c>
      <c r="K209" s="15" t="s">
        <v>98</v>
      </c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7"/>
      <c r="X209" s="17"/>
      <c r="Y209" s="17"/>
      <c r="Z209" s="17"/>
    </row>
    <row r="210" ht="15.75" customHeight="1">
      <c r="A210" s="24" t="s">
        <v>229</v>
      </c>
      <c r="B210" s="24" t="s">
        <v>1150</v>
      </c>
      <c r="C210" s="15" t="s">
        <v>1151</v>
      </c>
      <c r="D210" s="24" t="s">
        <v>1150</v>
      </c>
      <c r="E210" s="24" t="s">
        <v>1150</v>
      </c>
      <c r="F210" s="24" t="s">
        <v>38</v>
      </c>
      <c r="G210" s="15" t="s">
        <v>52</v>
      </c>
      <c r="H210" s="20" t="s">
        <v>1154</v>
      </c>
      <c r="I210" s="20" t="s">
        <v>221</v>
      </c>
      <c r="J210" s="15" t="s">
        <v>222</v>
      </c>
      <c r="K210" s="15" t="s">
        <v>223</v>
      </c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7"/>
      <c r="X210" s="17"/>
      <c r="Y210" s="17"/>
      <c r="Z210" s="17"/>
    </row>
    <row r="211" ht="15.75" customHeight="1">
      <c r="A211" s="24" t="s">
        <v>229</v>
      </c>
      <c r="B211" s="24" t="s">
        <v>1157</v>
      </c>
      <c r="C211" s="15" t="s">
        <v>1158</v>
      </c>
      <c r="D211" s="24" t="s">
        <v>1159</v>
      </c>
      <c r="E211" s="24" t="s">
        <v>1157</v>
      </c>
      <c r="F211" s="24" t="s">
        <v>38</v>
      </c>
      <c r="G211" s="15" t="s">
        <v>1160</v>
      </c>
      <c r="H211" s="20" t="s">
        <v>1161</v>
      </c>
      <c r="I211" s="20" t="s">
        <v>221</v>
      </c>
      <c r="J211" s="15" t="s">
        <v>222</v>
      </c>
      <c r="K211" s="15" t="s">
        <v>223</v>
      </c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7"/>
      <c r="X211" s="17"/>
      <c r="Y211" s="17"/>
      <c r="Z211" s="17"/>
    </row>
    <row r="212" ht="15.75" customHeight="1">
      <c r="A212" s="24" t="s">
        <v>547</v>
      </c>
      <c r="B212" s="24" t="s">
        <v>1165</v>
      </c>
      <c r="C212" s="15" t="s">
        <v>1166</v>
      </c>
      <c r="D212" s="24" t="s">
        <v>1165</v>
      </c>
      <c r="E212" s="24" t="s">
        <v>1168</v>
      </c>
      <c r="F212" s="24" t="s">
        <v>38</v>
      </c>
      <c r="G212" s="15" t="s">
        <v>52</v>
      </c>
      <c r="H212" s="20" t="s">
        <v>1169</v>
      </c>
      <c r="I212" s="20" t="s">
        <v>221</v>
      </c>
      <c r="J212" s="15" t="s">
        <v>222</v>
      </c>
      <c r="K212" s="15" t="s">
        <v>223</v>
      </c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7"/>
      <c r="X212" s="17"/>
      <c r="Y212" s="17"/>
      <c r="Z212" s="17"/>
    </row>
    <row r="213" ht="15.75" customHeight="1">
      <c r="A213" s="24" t="s">
        <v>1171</v>
      </c>
      <c r="B213" s="24" t="s">
        <v>1173</v>
      </c>
      <c r="C213" s="15" t="s">
        <v>1174</v>
      </c>
      <c r="D213" s="24" t="s">
        <v>1173</v>
      </c>
      <c r="E213" s="24" t="s">
        <v>1175</v>
      </c>
      <c r="F213" s="24" t="s">
        <v>38</v>
      </c>
      <c r="G213" s="15" t="s">
        <v>52</v>
      </c>
      <c r="H213" s="20" t="s">
        <v>1176</v>
      </c>
      <c r="I213" s="20" t="s">
        <v>221</v>
      </c>
      <c r="J213" s="15" t="s">
        <v>222</v>
      </c>
      <c r="K213" s="15" t="s">
        <v>223</v>
      </c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7"/>
      <c r="X213" s="17"/>
      <c r="Y213" s="17"/>
      <c r="Z213" s="17"/>
    </row>
    <row r="214" ht="15.75" customHeight="1">
      <c r="A214" s="24" t="s">
        <v>1171</v>
      </c>
      <c r="B214" s="24" t="s">
        <v>1179</v>
      </c>
      <c r="C214" s="15" t="s">
        <v>1181</v>
      </c>
      <c r="D214" s="24" t="s">
        <v>1173</v>
      </c>
      <c r="E214" s="24" t="s">
        <v>1182</v>
      </c>
      <c r="F214" s="24" t="s">
        <v>38</v>
      </c>
      <c r="G214" s="15" t="s">
        <v>52</v>
      </c>
      <c r="H214" s="20" t="s">
        <v>1176</v>
      </c>
      <c r="I214" s="20" t="s">
        <v>221</v>
      </c>
      <c r="J214" s="15" t="s">
        <v>222</v>
      </c>
      <c r="K214" s="15" t="s">
        <v>223</v>
      </c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7"/>
      <c r="X214" s="17"/>
      <c r="Y214" s="17"/>
      <c r="Z214" s="17"/>
    </row>
    <row r="215" ht="15.75" customHeight="1">
      <c r="A215" s="24" t="s">
        <v>1171</v>
      </c>
      <c r="B215" s="24" t="s">
        <v>1183</v>
      </c>
      <c r="C215" s="15" t="s">
        <v>1183</v>
      </c>
      <c r="D215" s="24" t="s">
        <v>1173</v>
      </c>
      <c r="E215" s="27" t="s">
        <v>1184</v>
      </c>
      <c r="F215" s="27" t="s">
        <v>278</v>
      </c>
      <c r="G215" s="15" t="s">
        <v>52</v>
      </c>
      <c r="H215" s="20" t="s">
        <v>1176</v>
      </c>
      <c r="I215" s="20" t="s">
        <v>221</v>
      </c>
      <c r="J215" s="15" t="s">
        <v>222</v>
      </c>
      <c r="K215" s="15" t="s">
        <v>223</v>
      </c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7"/>
      <c r="X215" s="17"/>
      <c r="Y215" s="17"/>
      <c r="Z215" s="17"/>
    </row>
    <row r="216" ht="15.75" customHeight="1">
      <c r="A216" s="24" t="s">
        <v>1171</v>
      </c>
      <c r="B216" s="24" t="s">
        <v>1187</v>
      </c>
      <c r="C216" s="15" t="s">
        <v>1187</v>
      </c>
      <c r="D216" s="24" t="s">
        <v>1173</v>
      </c>
      <c r="E216" s="27" t="s">
        <v>1184</v>
      </c>
      <c r="F216" s="27" t="s">
        <v>278</v>
      </c>
      <c r="G216" s="15" t="s">
        <v>52</v>
      </c>
      <c r="H216" s="20" t="s">
        <v>1176</v>
      </c>
      <c r="I216" s="20" t="s">
        <v>221</v>
      </c>
      <c r="J216" s="15" t="s">
        <v>222</v>
      </c>
      <c r="K216" s="15" t="s">
        <v>223</v>
      </c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7"/>
      <c r="X216" s="17"/>
      <c r="Y216" s="17"/>
      <c r="Z216" s="17"/>
    </row>
    <row r="217" ht="15.75" customHeight="1">
      <c r="A217" s="24" t="s">
        <v>1171</v>
      </c>
      <c r="B217" s="24" t="s">
        <v>1191</v>
      </c>
      <c r="C217" s="15" t="s">
        <v>1192</v>
      </c>
      <c r="D217" s="24" t="s">
        <v>1173</v>
      </c>
      <c r="E217" s="24" t="s">
        <v>1191</v>
      </c>
      <c r="F217" s="24" t="s">
        <v>38</v>
      </c>
      <c r="G217" s="15" t="s">
        <v>52</v>
      </c>
      <c r="H217" s="20" t="s">
        <v>1176</v>
      </c>
      <c r="I217" s="20" t="s">
        <v>221</v>
      </c>
      <c r="J217" s="15" t="s">
        <v>222</v>
      </c>
      <c r="K217" s="15" t="s">
        <v>223</v>
      </c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7"/>
      <c r="X217" s="17"/>
      <c r="Y217" s="17"/>
      <c r="Z217" s="17"/>
    </row>
    <row r="218" ht="15.75" customHeight="1">
      <c r="A218" s="24" t="s">
        <v>356</v>
      </c>
      <c r="B218" s="24" t="s">
        <v>1194</v>
      </c>
      <c r="C218" s="15" t="s">
        <v>1196</v>
      </c>
      <c r="D218" s="24" t="s">
        <v>1194</v>
      </c>
      <c r="E218" s="24" t="s">
        <v>1198</v>
      </c>
      <c r="F218" s="24" t="s">
        <v>38</v>
      </c>
      <c r="G218" s="15" t="s">
        <v>1199</v>
      </c>
      <c r="H218" s="20" t="s">
        <v>1200</v>
      </c>
      <c r="I218" s="20" t="s">
        <v>221</v>
      </c>
      <c r="J218" s="15" t="s">
        <v>222</v>
      </c>
      <c r="K218" s="15" t="s">
        <v>223</v>
      </c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7"/>
      <c r="X218" s="17"/>
      <c r="Y218" s="17"/>
      <c r="Z218" s="17"/>
    </row>
    <row r="219" ht="15.75" customHeight="1">
      <c r="A219" s="24" t="s">
        <v>473</v>
      </c>
      <c r="B219" s="24" t="s">
        <v>1203</v>
      </c>
      <c r="C219" s="15" t="s">
        <v>1204</v>
      </c>
      <c r="D219" s="24" t="s">
        <v>1203</v>
      </c>
      <c r="E219" s="24" t="s">
        <v>1205</v>
      </c>
      <c r="F219" s="24" t="s">
        <v>38</v>
      </c>
      <c r="G219" s="15" t="s">
        <v>52</v>
      </c>
      <c r="H219" s="20" t="s">
        <v>1207</v>
      </c>
      <c r="I219" s="20" t="s">
        <v>221</v>
      </c>
      <c r="J219" s="15" t="s">
        <v>222</v>
      </c>
      <c r="K219" s="15" t="s">
        <v>223</v>
      </c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7"/>
      <c r="X219" s="17"/>
      <c r="Y219" s="17"/>
      <c r="Z219" s="17"/>
    </row>
    <row r="220" ht="15.75" customHeight="1">
      <c r="A220" s="24" t="s">
        <v>696</v>
      </c>
      <c r="B220" s="24" t="s">
        <v>1212</v>
      </c>
      <c r="C220" s="15" t="s">
        <v>1213</v>
      </c>
      <c r="D220" s="24" t="s">
        <v>1212</v>
      </c>
      <c r="E220" s="24" t="s">
        <v>1214</v>
      </c>
      <c r="F220" s="24" t="s">
        <v>38</v>
      </c>
      <c r="G220" s="15" t="s">
        <v>1215</v>
      </c>
      <c r="H220" s="15" t="s">
        <v>1216</v>
      </c>
      <c r="I220" s="15" t="s">
        <v>41</v>
      </c>
      <c r="J220" s="15" t="s">
        <v>1217</v>
      </c>
      <c r="K220" s="15" t="s">
        <v>85</v>
      </c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7"/>
      <c r="X220" s="17"/>
      <c r="Y220" s="17"/>
      <c r="Z220" s="17"/>
    </row>
    <row r="221" ht="15.75" customHeight="1">
      <c r="A221" s="15" t="s">
        <v>229</v>
      </c>
      <c r="B221" s="15" t="s">
        <v>89</v>
      </c>
      <c r="C221" s="15" t="s">
        <v>91</v>
      </c>
      <c r="D221" s="15" t="s">
        <v>1219</v>
      </c>
      <c r="E221" s="15" t="s">
        <v>1220</v>
      </c>
      <c r="F221" s="15" t="s">
        <v>94</v>
      </c>
      <c r="G221" s="15" t="s">
        <v>91</v>
      </c>
      <c r="H221" s="15" t="s">
        <v>1221</v>
      </c>
      <c r="I221" s="15" t="s">
        <v>41</v>
      </c>
      <c r="J221" s="15" t="s">
        <v>1222</v>
      </c>
      <c r="K221" s="15" t="s">
        <v>98</v>
      </c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7"/>
      <c r="X221" s="17"/>
      <c r="Y221" s="17"/>
      <c r="Z221" s="17"/>
    </row>
    <row r="222" ht="15.75" customHeight="1">
      <c r="A222" s="15" t="s">
        <v>229</v>
      </c>
      <c r="B222" s="15" t="s">
        <v>89</v>
      </c>
      <c r="C222" s="15" t="s">
        <v>91</v>
      </c>
      <c r="D222" s="15" t="s">
        <v>548</v>
      </c>
      <c r="E222" s="15" t="s">
        <v>1225</v>
      </c>
      <c r="F222" s="15" t="s">
        <v>94</v>
      </c>
      <c r="G222" s="15" t="s">
        <v>91</v>
      </c>
      <c r="H222" s="15" t="s">
        <v>1226</v>
      </c>
      <c r="I222" s="15" t="s">
        <v>41</v>
      </c>
      <c r="J222" s="15" t="s">
        <v>1228</v>
      </c>
      <c r="K222" s="15" t="s">
        <v>98</v>
      </c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7"/>
      <c r="X222" s="17"/>
      <c r="Y222" s="17"/>
      <c r="Z222" s="17"/>
    </row>
    <row r="223" ht="15.75" customHeight="1">
      <c r="A223" s="15" t="s">
        <v>229</v>
      </c>
      <c r="B223" s="15" t="s">
        <v>1074</v>
      </c>
      <c r="C223" s="15" t="s">
        <v>1076</v>
      </c>
      <c r="D223" s="15" t="s">
        <v>1230</v>
      </c>
      <c r="E223" s="15" t="s">
        <v>1074</v>
      </c>
      <c r="F223" s="15" t="s">
        <v>38</v>
      </c>
      <c r="G223" s="15" t="s">
        <v>1080</v>
      </c>
      <c r="H223" s="15" t="s">
        <v>1073</v>
      </c>
      <c r="I223" s="15" t="s">
        <v>41</v>
      </c>
      <c r="J223" s="15" t="s">
        <v>1068</v>
      </c>
      <c r="K223" s="15" t="s">
        <v>85</v>
      </c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7"/>
      <c r="X223" s="17"/>
      <c r="Y223" s="17"/>
      <c r="Z223" s="17"/>
    </row>
    <row r="224" ht="15.75" customHeight="1">
      <c r="A224" s="15" t="s">
        <v>229</v>
      </c>
      <c r="B224" s="15" t="s">
        <v>89</v>
      </c>
      <c r="C224" s="15" t="s">
        <v>91</v>
      </c>
      <c r="D224" s="15" t="s">
        <v>1007</v>
      </c>
      <c r="E224" s="15" t="s">
        <v>1235</v>
      </c>
      <c r="F224" s="15" t="s">
        <v>94</v>
      </c>
      <c r="G224" s="15" t="s">
        <v>91</v>
      </c>
      <c r="H224" s="15" t="s">
        <v>1236</v>
      </c>
      <c r="I224" s="15" t="s">
        <v>41</v>
      </c>
      <c r="J224" s="15" t="s">
        <v>1238</v>
      </c>
      <c r="K224" s="15" t="s">
        <v>98</v>
      </c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7"/>
      <c r="X224" s="17"/>
      <c r="Y224" s="17"/>
      <c r="Z224" s="17"/>
    </row>
    <row r="225" ht="15.75" customHeight="1">
      <c r="A225" s="15" t="s">
        <v>229</v>
      </c>
      <c r="B225" s="15" t="s">
        <v>89</v>
      </c>
      <c r="C225" s="15" t="s">
        <v>91</v>
      </c>
      <c r="D225" s="15" t="s">
        <v>1007</v>
      </c>
      <c r="E225" s="15" t="s">
        <v>1239</v>
      </c>
      <c r="F225" s="15" t="s">
        <v>94</v>
      </c>
      <c r="G225" s="15" t="s">
        <v>91</v>
      </c>
      <c r="H225" s="15" t="s">
        <v>1240</v>
      </c>
      <c r="I225" s="15" t="s">
        <v>41</v>
      </c>
      <c r="J225" s="15" t="s">
        <v>1241</v>
      </c>
      <c r="K225" s="15" t="s">
        <v>98</v>
      </c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7"/>
      <c r="X225" s="17"/>
      <c r="Y225" s="17"/>
      <c r="Z225" s="17"/>
    </row>
    <row r="226" ht="15.75" customHeight="1">
      <c r="A226" s="15" t="s">
        <v>229</v>
      </c>
      <c r="B226" s="15" t="s">
        <v>1082</v>
      </c>
      <c r="C226" s="15" t="s">
        <v>1083</v>
      </c>
      <c r="D226" s="15" t="s">
        <v>1245</v>
      </c>
      <c r="E226" s="15" t="s">
        <v>1082</v>
      </c>
      <c r="F226" s="15" t="s">
        <v>38</v>
      </c>
      <c r="G226" s="15" t="s">
        <v>52</v>
      </c>
      <c r="H226" s="15" t="s">
        <v>1086</v>
      </c>
      <c r="I226" s="15" t="s">
        <v>41</v>
      </c>
      <c r="J226" s="15" t="s">
        <v>283</v>
      </c>
      <c r="K226" s="15" t="s">
        <v>223</v>
      </c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7"/>
      <c r="X226" s="17"/>
      <c r="Y226" s="17"/>
      <c r="Z226" s="17"/>
    </row>
    <row r="227" ht="15.75" customHeight="1">
      <c r="A227" s="15" t="s">
        <v>229</v>
      </c>
      <c r="B227" s="15" t="s">
        <v>1088</v>
      </c>
      <c r="C227" s="15" t="s">
        <v>1089</v>
      </c>
      <c r="D227" s="15" t="s">
        <v>1248</v>
      </c>
      <c r="E227" s="15" t="s">
        <v>1088</v>
      </c>
      <c r="F227" s="15" t="s">
        <v>38</v>
      </c>
      <c r="G227" s="15" t="s">
        <v>52</v>
      </c>
      <c r="H227" s="15" t="s">
        <v>921</v>
      </c>
      <c r="I227" s="15" t="s">
        <v>41</v>
      </c>
      <c r="J227" s="15" t="s">
        <v>283</v>
      </c>
      <c r="K227" s="16" t="s">
        <v>1250</v>
      </c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7"/>
      <c r="X227" s="17"/>
      <c r="Y227" s="17"/>
      <c r="Z227" s="17"/>
    </row>
    <row r="228" ht="15.75" customHeight="1">
      <c r="A228" s="15" t="s">
        <v>229</v>
      </c>
      <c r="B228" s="15" t="s">
        <v>89</v>
      </c>
      <c r="C228" s="15" t="s">
        <v>91</v>
      </c>
      <c r="D228" s="15" t="s">
        <v>1251</v>
      </c>
      <c r="E228" s="15" t="s">
        <v>933</v>
      </c>
      <c r="F228" s="15" t="s">
        <v>94</v>
      </c>
      <c r="G228" s="15" t="s">
        <v>91</v>
      </c>
      <c r="H228" s="15" t="s">
        <v>942</v>
      </c>
      <c r="I228" s="15" t="s">
        <v>41</v>
      </c>
      <c r="J228" s="15" t="s">
        <v>283</v>
      </c>
      <c r="K228" s="15" t="s">
        <v>98</v>
      </c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7"/>
      <c r="X228" s="17"/>
      <c r="Y228" s="17"/>
      <c r="Z228" s="17"/>
    </row>
    <row r="229" ht="15.75" customHeight="1">
      <c r="A229" s="15" t="s">
        <v>229</v>
      </c>
      <c r="B229" s="15" t="s">
        <v>1096</v>
      </c>
      <c r="C229" s="15" t="s">
        <v>1097</v>
      </c>
      <c r="D229" s="15" t="s">
        <v>1255</v>
      </c>
      <c r="E229" s="15" t="s">
        <v>1096</v>
      </c>
      <c r="F229" s="15" t="s">
        <v>38</v>
      </c>
      <c r="G229" s="15" t="s">
        <v>52</v>
      </c>
      <c r="H229" s="15" t="s">
        <v>847</v>
      </c>
      <c r="I229" s="15" t="s">
        <v>41</v>
      </c>
      <c r="J229" s="15" t="s">
        <v>843</v>
      </c>
      <c r="K229" s="15" t="s">
        <v>85</v>
      </c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7"/>
      <c r="X229" s="17"/>
      <c r="Y229" s="17"/>
      <c r="Z229" s="17"/>
    </row>
    <row r="230" ht="15.75" customHeight="1">
      <c r="A230" s="15" t="s">
        <v>229</v>
      </c>
      <c r="B230" s="15" t="s">
        <v>89</v>
      </c>
      <c r="C230" s="15" t="s">
        <v>91</v>
      </c>
      <c r="D230" s="15" t="s">
        <v>1258</v>
      </c>
      <c r="E230" s="15" t="s">
        <v>1036</v>
      </c>
      <c r="F230" s="15" t="s">
        <v>94</v>
      </c>
      <c r="G230" s="15" t="s">
        <v>91</v>
      </c>
      <c r="H230" s="15" t="s">
        <v>1047</v>
      </c>
      <c r="I230" s="15" t="s">
        <v>41</v>
      </c>
      <c r="J230" s="15" t="s">
        <v>1035</v>
      </c>
      <c r="K230" s="15" t="s">
        <v>98</v>
      </c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7"/>
      <c r="X230" s="17"/>
      <c r="Y230" s="17"/>
      <c r="Z230" s="17"/>
    </row>
    <row r="231" ht="15.75" customHeight="1">
      <c r="A231" s="15" t="s">
        <v>229</v>
      </c>
      <c r="B231" s="15" t="s">
        <v>1099</v>
      </c>
      <c r="C231" s="15" t="s">
        <v>1100</v>
      </c>
      <c r="D231" s="15" t="s">
        <v>1261</v>
      </c>
      <c r="E231" s="15" t="s">
        <v>1099</v>
      </c>
      <c r="F231" s="15" t="s">
        <v>38</v>
      </c>
      <c r="G231" s="15" t="s">
        <v>52</v>
      </c>
      <c r="H231" s="15" t="s">
        <v>1106</v>
      </c>
      <c r="I231" s="15" t="s">
        <v>41</v>
      </c>
      <c r="J231" s="15" t="s">
        <v>1107</v>
      </c>
      <c r="K231" s="15" t="s">
        <v>223</v>
      </c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7"/>
      <c r="X231" s="17"/>
      <c r="Y231" s="17"/>
      <c r="Z231" s="17"/>
    </row>
    <row r="232" ht="15.75" customHeight="1">
      <c r="A232" s="15" t="s">
        <v>229</v>
      </c>
      <c r="B232" s="15" t="s">
        <v>89</v>
      </c>
      <c r="C232" s="15" t="s">
        <v>91</v>
      </c>
      <c r="D232" s="15" t="s">
        <v>1261</v>
      </c>
      <c r="E232" s="15" t="s">
        <v>1099</v>
      </c>
      <c r="F232" s="15" t="s">
        <v>94</v>
      </c>
      <c r="G232" s="15" t="s">
        <v>91</v>
      </c>
      <c r="H232" s="15" t="s">
        <v>1262</v>
      </c>
      <c r="I232" s="15" t="s">
        <v>41</v>
      </c>
      <c r="J232" s="15" t="s">
        <v>1107</v>
      </c>
      <c r="K232" s="15" t="s">
        <v>98</v>
      </c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7"/>
      <c r="X232" s="17"/>
      <c r="Y232" s="17"/>
      <c r="Z232" s="17"/>
    </row>
    <row r="233" ht="15.75" customHeight="1">
      <c r="A233" s="15" t="s">
        <v>229</v>
      </c>
      <c r="B233" s="15" t="s">
        <v>1108</v>
      </c>
      <c r="C233" s="15" t="s">
        <v>1109</v>
      </c>
      <c r="D233" s="15" t="s">
        <v>1263</v>
      </c>
      <c r="E233" s="15" t="s">
        <v>1108</v>
      </c>
      <c r="F233" s="15" t="s">
        <v>38</v>
      </c>
      <c r="G233" s="15" t="s">
        <v>52</v>
      </c>
      <c r="H233" s="15" t="s">
        <v>1110</v>
      </c>
      <c r="I233" s="15" t="s">
        <v>41</v>
      </c>
      <c r="J233" s="15" t="s">
        <v>1111</v>
      </c>
      <c r="K233" s="15" t="s">
        <v>85</v>
      </c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7"/>
      <c r="X233" s="17"/>
      <c r="Y233" s="17"/>
      <c r="Z233" s="17"/>
    </row>
    <row r="234" ht="15.75" customHeight="1">
      <c r="A234" s="15" t="s">
        <v>229</v>
      </c>
      <c r="B234" s="15" t="s">
        <v>89</v>
      </c>
      <c r="C234" s="15" t="s">
        <v>91</v>
      </c>
      <c r="D234" s="15" t="s">
        <v>1265</v>
      </c>
      <c r="E234" s="15" t="s">
        <v>1209</v>
      </c>
      <c r="F234" s="15" t="s">
        <v>94</v>
      </c>
      <c r="G234" s="15" t="s">
        <v>91</v>
      </c>
      <c r="H234" s="15" t="s">
        <v>1218</v>
      </c>
      <c r="I234" s="15" t="s">
        <v>41</v>
      </c>
      <c r="J234" s="15" t="s">
        <v>1206</v>
      </c>
      <c r="K234" s="15" t="s">
        <v>98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7"/>
      <c r="X234" s="17"/>
      <c r="Y234" s="17"/>
      <c r="Z234" s="17"/>
    </row>
    <row r="235" ht="15.75" customHeight="1">
      <c r="A235" s="15" t="s">
        <v>229</v>
      </c>
      <c r="B235" s="15" t="s">
        <v>89</v>
      </c>
      <c r="C235" s="15" t="s">
        <v>91</v>
      </c>
      <c r="D235" s="15" t="s">
        <v>1266</v>
      </c>
      <c r="E235" s="15" t="s">
        <v>447</v>
      </c>
      <c r="F235" s="15" t="s">
        <v>94</v>
      </c>
      <c r="G235" s="15" t="s">
        <v>91</v>
      </c>
      <c r="H235" s="15" t="s">
        <v>454</v>
      </c>
      <c r="I235" s="15" t="s">
        <v>41</v>
      </c>
      <c r="J235" s="15" t="s">
        <v>445</v>
      </c>
      <c r="K235" s="15" t="s">
        <v>98</v>
      </c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7"/>
      <c r="X235" s="17"/>
      <c r="Y235" s="17"/>
      <c r="Z235" s="17"/>
    </row>
    <row r="236" ht="15.75" customHeight="1">
      <c r="A236" s="15" t="s">
        <v>229</v>
      </c>
      <c r="B236" s="15" t="s">
        <v>1118</v>
      </c>
      <c r="C236" s="15" t="s">
        <v>1120</v>
      </c>
      <c r="D236" s="15" t="s">
        <v>1272</v>
      </c>
      <c r="E236" s="15" t="s">
        <v>1118</v>
      </c>
      <c r="F236" s="15" t="s">
        <v>38</v>
      </c>
      <c r="G236" s="15" t="s">
        <v>52</v>
      </c>
      <c r="H236" s="15" t="s">
        <v>367</v>
      </c>
      <c r="I236" s="15" t="s">
        <v>41</v>
      </c>
      <c r="J236" s="15" t="s">
        <v>357</v>
      </c>
      <c r="K236" s="15" t="s">
        <v>85</v>
      </c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7"/>
      <c r="X236" s="17"/>
      <c r="Y236" s="17"/>
      <c r="Z236" s="17"/>
    </row>
    <row r="237" ht="15.75" customHeight="1">
      <c r="A237" s="15" t="s">
        <v>229</v>
      </c>
      <c r="B237" s="15" t="s">
        <v>89</v>
      </c>
      <c r="C237" s="15" t="s">
        <v>91</v>
      </c>
      <c r="D237" s="15" t="s">
        <v>1276</v>
      </c>
      <c r="E237" s="15" t="s">
        <v>1277</v>
      </c>
      <c r="F237" s="15" t="s">
        <v>94</v>
      </c>
      <c r="G237" s="15" t="s">
        <v>91</v>
      </c>
      <c r="H237" s="15" t="s">
        <v>1279</v>
      </c>
      <c r="I237" s="15" t="s">
        <v>41</v>
      </c>
      <c r="J237" s="15" t="s">
        <v>1282</v>
      </c>
      <c r="K237" s="15" t="s">
        <v>98</v>
      </c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7"/>
      <c r="X237" s="17"/>
      <c r="Y237" s="17"/>
      <c r="Z237" s="17"/>
    </row>
    <row r="238" ht="15.75" customHeight="1">
      <c r="A238" s="15" t="s">
        <v>229</v>
      </c>
      <c r="B238" s="15" t="s">
        <v>1122</v>
      </c>
      <c r="C238" s="15" t="s">
        <v>1124</v>
      </c>
      <c r="D238" s="15" t="s">
        <v>1122</v>
      </c>
      <c r="E238" s="15" t="s">
        <v>1126</v>
      </c>
      <c r="F238" s="15" t="s">
        <v>38</v>
      </c>
      <c r="G238" s="15" t="s">
        <v>52</v>
      </c>
      <c r="H238" s="15" t="s">
        <v>1128</v>
      </c>
      <c r="I238" s="15" t="s">
        <v>41</v>
      </c>
      <c r="J238" s="15" t="s">
        <v>1129</v>
      </c>
      <c r="K238" s="15" t="s">
        <v>85</v>
      </c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7"/>
      <c r="X238" s="17"/>
      <c r="Y238" s="17"/>
      <c r="Z238" s="17"/>
    </row>
    <row r="239" ht="15.75" customHeight="1">
      <c r="A239" s="15" t="s">
        <v>229</v>
      </c>
      <c r="B239" s="15" t="s">
        <v>89</v>
      </c>
      <c r="C239" s="15" t="s">
        <v>91</v>
      </c>
      <c r="D239" s="15" t="s">
        <v>1289</v>
      </c>
      <c r="E239" s="15" t="s">
        <v>1290</v>
      </c>
      <c r="F239" s="15" t="s">
        <v>94</v>
      </c>
      <c r="G239" s="15" t="s">
        <v>91</v>
      </c>
      <c r="H239" s="15" t="s">
        <v>1292</v>
      </c>
      <c r="I239" s="15" t="s">
        <v>41</v>
      </c>
      <c r="J239" s="15" t="s">
        <v>1294</v>
      </c>
      <c r="K239" s="15" t="s">
        <v>98</v>
      </c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7"/>
      <c r="X239" s="17"/>
      <c r="Y239" s="17"/>
      <c r="Z239" s="17"/>
    </row>
    <row r="240" ht="15.75" customHeight="1">
      <c r="A240" s="15" t="s">
        <v>229</v>
      </c>
      <c r="B240" s="15" t="s">
        <v>89</v>
      </c>
      <c r="C240" s="15" t="s">
        <v>91</v>
      </c>
      <c r="D240" s="15" t="s">
        <v>1295</v>
      </c>
      <c r="E240" s="15" t="s">
        <v>586</v>
      </c>
      <c r="F240" s="15" t="s">
        <v>94</v>
      </c>
      <c r="G240" s="15" t="s">
        <v>91</v>
      </c>
      <c r="H240" s="15" t="s">
        <v>596</v>
      </c>
      <c r="I240" s="15" t="s">
        <v>41</v>
      </c>
      <c r="J240" s="15" t="s">
        <v>585</v>
      </c>
      <c r="K240" s="15" t="s">
        <v>98</v>
      </c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7"/>
      <c r="X240" s="17"/>
      <c r="Y240" s="17"/>
      <c r="Z240" s="17"/>
    </row>
    <row r="241" ht="15.75" customHeight="1">
      <c r="A241" s="15" t="s">
        <v>229</v>
      </c>
      <c r="B241" s="15" t="s">
        <v>1137</v>
      </c>
      <c r="C241" s="15" t="s">
        <v>1138</v>
      </c>
      <c r="D241" s="15" t="s">
        <v>1304</v>
      </c>
      <c r="E241" s="15" t="s">
        <v>1137</v>
      </c>
      <c r="F241" s="15" t="s">
        <v>38</v>
      </c>
      <c r="G241" s="15" t="s">
        <v>1141</v>
      </c>
      <c r="H241" s="15" t="s">
        <v>1142</v>
      </c>
      <c r="I241" s="15" t="s">
        <v>41</v>
      </c>
      <c r="J241" s="15" t="s">
        <v>1143</v>
      </c>
      <c r="K241" s="15" t="s">
        <v>223</v>
      </c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7"/>
      <c r="X241" s="17"/>
      <c r="Y241" s="17"/>
      <c r="Z241" s="17"/>
    </row>
    <row r="242" ht="15.75" customHeight="1">
      <c r="A242" s="15" t="s">
        <v>229</v>
      </c>
      <c r="B242" s="15" t="s">
        <v>89</v>
      </c>
      <c r="C242" s="15" t="s">
        <v>91</v>
      </c>
      <c r="D242" s="15" t="s">
        <v>1304</v>
      </c>
      <c r="E242" s="15" t="s">
        <v>1137</v>
      </c>
      <c r="F242" s="15" t="s">
        <v>94</v>
      </c>
      <c r="G242" s="15" t="s">
        <v>91</v>
      </c>
      <c r="H242" s="15" t="s">
        <v>1307</v>
      </c>
      <c r="I242" s="15" t="s">
        <v>41</v>
      </c>
      <c r="J242" s="15" t="s">
        <v>1143</v>
      </c>
      <c r="K242" s="15" t="s">
        <v>98</v>
      </c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7"/>
      <c r="X242" s="17"/>
      <c r="Y242" s="17"/>
      <c r="Z242" s="17"/>
    </row>
    <row r="243" ht="15.75" customHeight="1">
      <c r="A243" s="15" t="s">
        <v>229</v>
      </c>
      <c r="B243" s="15" t="s">
        <v>1148</v>
      </c>
      <c r="C243" s="15" t="s">
        <v>1149</v>
      </c>
      <c r="D243" s="15" t="s">
        <v>1308</v>
      </c>
      <c r="E243" s="15" t="s">
        <v>1148</v>
      </c>
      <c r="F243" s="15" t="s">
        <v>38</v>
      </c>
      <c r="G243" s="15" t="s">
        <v>1152</v>
      </c>
      <c r="H243" s="15" t="s">
        <v>1153</v>
      </c>
      <c r="I243" s="15" t="s">
        <v>41</v>
      </c>
      <c r="J243" s="15" t="s">
        <v>1155</v>
      </c>
      <c r="K243" s="15" t="s">
        <v>85</v>
      </c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7"/>
      <c r="X243" s="17"/>
      <c r="Y243" s="17"/>
      <c r="Z243" s="17"/>
    </row>
    <row r="244" ht="15.75" customHeight="1">
      <c r="A244" s="15" t="s">
        <v>229</v>
      </c>
      <c r="B244" s="15" t="s">
        <v>1162</v>
      </c>
      <c r="C244" s="15" t="s">
        <v>1163</v>
      </c>
      <c r="D244" s="15" t="s">
        <v>1313</v>
      </c>
      <c r="E244" s="15" t="s">
        <v>1162</v>
      </c>
      <c r="F244" s="15" t="s">
        <v>38</v>
      </c>
      <c r="G244" s="15" t="s">
        <v>1167</v>
      </c>
      <c r="H244" s="15" t="s">
        <v>1019</v>
      </c>
      <c r="I244" s="15" t="s">
        <v>41</v>
      </c>
      <c r="J244" s="15" t="s">
        <v>1001</v>
      </c>
      <c r="K244" s="15" t="s">
        <v>85</v>
      </c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7"/>
      <c r="X244" s="17"/>
      <c r="Y244" s="17"/>
      <c r="Z244" s="17"/>
    </row>
    <row r="245" ht="15.75" customHeight="1">
      <c r="A245" s="15" t="s">
        <v>229</v>
      </c>
      <c r="B245" s="15" t="s">
        <v>1177</v>
      </c>
      <c r="C245" s="15" t="s">
        <v>1178</v>
      </c>
      <c r="D245" s="15" t="s">
        <v>751</v>
      </c>
      <c r="E245" s="15" t="s">
        <v>1177</v>
      </c>
      <c r="F245" s="15" t="s">
        <v>38</v>
      </c>
      <c r="G245" s="15" t="s">
        <v>1185</v>
      </c>
      <c r="H245" s="15" t="s">
        <v>791</v>
      </c>
      <c r="I245" s="15" t="s">
        <v>41</v>
      </c>
      <c r="J245" s="15" t="s">
        <v>746</v>
      </c>
      <c r="K245" s="15" t="s">
        <v>85</v>
      </c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7"/>
      <c r="X245" s="17"/>
      <c r="Y245" s="17"/>
      <c r="Z245" s="17"/>
    </row>
    <row r="246" ht="15.75" customHeight="1">
      <c r="A246" s="15" t="s">
        <v>229</v>
      </c>
      <c r="B246" s="15" t="s">
        <v>89</v>
      </c>
      <c r="C246" s="15" t="s">
        <v>91</v>
      </c>
      <c r="D246" s="15" t="s">
        <v>1319</v>
      </c>
      <c r="E246" s="15" t="s">
        <v>293</v>
      </c>
      <c r="F246" s="15" t="s">
        <v>94</v>
      </c>
      <c r="G246" s="15" t="s">
        <v>91</v>
      </c>
      <c r="H246" s="15" t="s">
        <v>299</v>
      </c>
      <c r="I246" s="15" t="s">
        <v>41</v>
      </c>
      <c r="J246" s="15" t="s">
        <v>292</v>
      </c>
      <c r="K246" s="15" t="s">
        <v>98</v>
      </c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7"/>
      <c r="X246" s="17"/>
      <c r="Y246" s="17"/>
      <c r="Z246" s="17"/>
    </row>
    <row r="247" ht="15.75" customHeight="1">
      <c r="A247" s="15" t="s">
        <v>229</v>
      </c>
      <c r="B247" s="15" t="s">
        <v>1188</v>
      </c>
      <c r="C247" s="15" t="s">
        <v>1189</v>
      </c>
      <c r="D247" s="15" t="s">
        <v>1323</v>
      </c>
      <c r="E247" s="15" t="s">
        <v>1188</v>
      </c>
      <c r="F247" s="15" t="s">
        <v>38</v>
      </c>
      <c r="G247" s="15" t="s">
        <v>1190</v>
      </c>
      <c r="H247" s="15" t="s">
        <v>996</v>
      </c>
      <c r="I247" s="15" t="s">
        <v>41</v>
      </c>
      <c r="J247" s="15" t="s">
        <v>986</v>
      </c>
      <c r="K247" s="15" t="s">
        <v>85</v>
      </c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7"/>
      <c r="X247" s="17"/>
      <c r="Y247" s="17"/>
      <c r="Z247" s="17"/>
    </row>
    <row r="248" ht="15.75" customHeight="1">
      <c r="A248" s="15" t="s">
        <v>229</v>
      </c>
      <c r="B248" s="15" t="s">
        <v>89</v>
      </c>
      <c r="C248" s="15" t="s">
        <v>91</v>
      </c>
      <c r="D248" s="15" t="s">
        <v>1329</v>
      </c>
      <c r="E248" s="15" t="s">
        <v>1331</v>
      </c>
      <c r="F248" s="15" t="s">
        <v>94</v>
      </c>
      <c r="G248" s="15" t="s">
        <v>91</v>
      </c>
      <c r="H248" s="15" t="s">
        <v>1332</v>
      </c>
      <c r="I248" s="15" t="s">
        <v>41</v>
      </c>
      <c r="J248" s="15" t="s">
        <v>1333</v>
      </c>
      <c r="K248" s="15" t="s">
        <v>98</v>
      </c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7"/>
      <c r="X248" s="17"/>
      <c r="Y248" s="17"/>
      <c r="Z248" s="17"/>
    </row>
    <row r="249" ht="15.75" customHeight="1">
      <c r="A249" s="15" t="s">
        <v>229</v>
      </c>
      <c r="B249" s="15" t="s">
        <v>89</v>
      </c>
      <c r="C249" s="15" t="s">
        <v>91</v>
      </c>
      <c r="D249" s="15" t="s">
        <v>1334</v>
      </c>
      <c r="E249" s="15" t="s">
        <v>1335</v>
      </c>
      <c r="F249" s="15" t="s">
        <v>94</v>
      </c>
      <c r="G249" s="15" t="s">
        <v>91</v>
      </c>
      <c r="H249" s="15" t="s">
        <v>1336</v>
      </c>
      <c r="I249" s="15" t="s">
        <v>41</v>
      </c>
      <c r="J249" s="15" t="s">
        <v>1337</v>
      </c>
      <c r="K249" s="15" t="s">
        <v>98</v>
      </c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7"/>
      <c r="X249" s="17"/>
      <c r="Y249" s="17"/>
      <c r="Z249" s="17"/>
    </row>
    <row r="250" ht="15.75" customHeight="1">
      <c r="A250" s="15" t="s">
        <v>229</v>
      </c>
      <c r="B250" s="15" t="s">
        <v>89</v>
      </c>
      <c r="C250" s="15" t="s">
        <v>91</v>
      </c>
      <c r="D250" s="15" t="s">
        <v>1340</v>
      </c>
      <c r="E250" s="15" t="s">
        <v>1341</v>
      </c>
      <c r="F250" s="15" t="s">
        <v>94</v>
      </c>
      <c r="G250" s="15" t="s">
        <v>91</v>
      </c>
      <c r="H250" s="15" t="s">
        <v>1342</v>
      </c>
      <c r="I250" s="15" t="s">
        <v>41</v>
      </c>
      <c r="J250" s="15" t="s">
        <v>1344</v>
      </c>
      <c r="K250" s="15" t="s">
        <v>98</v>
      </c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7"/>
      <c r="X250" s="17"/>
      <c r="Y250" s="17"/>
      <c r="Z250" s="17"/>
    </row>
    <row r="251" ht="15.75" customHeight="1">
      <c r="A251" s="15" t="s">
        <v>47</v>
      </c>
      <c r="B251" s="15" t="s">
        <v>1349</v>
      </c>
      <c r="C251" s="15" t="s">
        <v>520</v>
      </c>
      <c r="D251" s="15" t="s">
        <v>1350</v>
      </c>
      <c r="E251" s="15" t="s">
        <v>1349</v>
      </c>
      <c r="F251" s="15" t="s">
        <v>38</v>
      </c>
      <c r="G251" s="15" t="s">
        <v>52</v>
      </c>
      <c r="H251" s="15" t="s">
        <v>52</v>
      </c>
      <c r="I251" s="15" t="s">
        <v>221</v>
      </c>
      <c r="J251" s="15" t="s">
        <v>1351</v>
      </c>
      <c r="K251" s="15" t="s">
        <v>223</v>
      </c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7"/>
      <c r="X251" s="17"/>
      <c r="Y251" s="17"/>
      <c r="Z251" s="17"/>
    </row>
    <row r="252" ht="15.75" customHeight="1">
      <c r="A252" s="15" t="s">
        <v>47</v>
      </c>
      <c r="B252" s="15" t="s">
        <v>1354</v>
      </c>
      <c r="C252" s="15" t="s">
        <v>1356</v>
      </c>
      <c r="D252" s="15" t="s">
        <v>92</v>
      </c>
      <c r="E252" s="15" t="s">
        <v>1354</v>
      </c>
      <c r="F252" s="15" t="s">
        <v>38</v>
      </c>
      <c r="G252" s="15" t="s">
        <v>1357</v>
      </c>
      <c r="H252" s="15" t="s">
        <v>52</v>
      </c>
      <c r="I252" s="15" t="s">
        <v>221</v>
      </c>
      <c r="J252" s="15" t="s">
        <v>1351</v>
      </c>
      <c r="K252" s="15" t="s">
        <v>223</v>
      </c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7"/>
      <c r="X252" s="17"/>
      <c r="Y252" s="17"/>
      <c r="Z252" s="17"/>
    </row>
    <row r="253" ht="15.75" customHeight="1">
      <c r="A253" s="15" t="s">
        <v>120</v>
      </c>
      <c r="B253" s="15" t="s">
        <v>1359</v>
      </c>
      <c r="C253" s="15"/>
      <c r="D253" s="15" t="s">
        <v>252</v>
      </c>
      <c r="E253" s="21" t="s">
        <v>1359</v>
      </c>
      <c r="F253" s="21" t="s">
        <v>151</v>
      </c>
      <c r="G253" s="21" t="s">
        <v>152</v>
      </c>
      <c r="H253" s="15" t="s">
        <v>52</v>
      </c>
      <c r="I253" s="15" t="s">
        <v>221</v>
      </c>
      <c r="J253" s="15" t="s">
        <v>1351</v>
      </c>
      <c r="K253" s="15" t="s">
        <v>223</v>
      </c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7"/>
      <c r="X253" s="17"/>
      <c r="Y253" s="17"/>
      <c r="Z253" s="17"/>
    </row>
    <row r="254" ht="15.75" customHeight="1">
      <c r="A254" s="15" t="s">
        <v>268</v>
      </c>
      <c r="B254" s="15" t="s">
        <v>1365</v>
      </c>
      <c r="C254" s="15" t="s">
        <v>1365</v>
      </c>
      <c r="D254" s="15" t="s">
        <v>1368</v>
      </c>
      <c r="E254" s="22" t="s">
        <v>1370</v>
      </c>
      <c r="F254" s="22" t="s">
        <v>278</v>
      </c>
      <c r="G254" s="15" t="s">
        <v>52</v>
      </c>
      <c r="H254" s="15" t="s">
        <v>52</v>
      </c>
      <c r="I254" s="15" t="s">
        <v>221</v>
      </c>
      <c r="J254" s="15" t="s">
        <v>1351</v>
      </c>
      <c r="K254" s="15" t="s">
        <v>223</v>
      </c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7"/>
      <c r="X254" s="17"/>
      <c r="Y254" s="17"/>
      <c r="Z254" s="17"/>
    </row>
    <row r="255" ht="15.75" customHeight="1">
      <c r="A255" s="24" t="s">
        <v>340</v>
      </c>
      <c r="B255" s="24" t="s">
        <v>412</v>
      </c>
      <c r="C255" s="15" t="s">
        <v>1371</v>
      </c>
      <c r="D255" s="24" t="s">
        <v>412</v>
      </c>
      <c r="E255" s="24" t="s">
        <v>184</v>
      </c>
      <c r="F255" s="24" t="s">
        <v>38</v>
      </c>
      <c r="G255" s="15" t="s">
        <v>52</v>
      </c>
      <c r="H255" s="15" t="s">
        <v>52</v>
      </c>
      <c r="I255" s="15" t="s">
        <v>221</v>
      </c>
      <c r="J255" s="15" t="s">
        <v>1351</v>
      </c>
      <c r="K255" s="15" t="s">
        <v>223</v>
      </c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7"/>
      <c r="X255" s="17"/>
      <c r="Y255" s="17"/>
      <c r="Z255" s="17"/>
    </row>
    <row r="256" ht="15.75" customHeight="1">
      <c r="A256" s="24" t="s">
        <v>340</v>
      </c>
      <c r="B256" s="24" t="s">
        <v>1378</v>
      </c>
      <c r="C256" s="15" t="s">
        <v>1378</v>
      </c>
      <c r="D256" s="24" t="s">
        <v>1379</v>
      </c>
      <c r="E256" s="27" t="s">
        <v>1380</v>
      </c>
      <c r="F256" s="27" t="s">
        <v>278</v>
      </c>
      <c r="G256" s="15" t="s">
        <v>52</v>
      </c>
      <c r="H256" s="15" t="s">
        <v>52</v>
      </c>
      <c r="I256" s="15" t="s">
        <v>221</v>
      </c>
      <c r="J256" s="15" t="s">
        <v>1351</v>
      </c>
      <c r="K256" s="15" t="s">
        <v>223</v>
      </c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7"/>
      <c r="X256" s="17"/>
      <c r="Y256" s="17"/>
      <c r="Z256" s="17"/>
    </row>
    <row r="257" ht="15.75" customHeight="1">
      <c r="A257" s="24" t="s">
        <v>340</v>
      </c>
      <c r="B257" s="24" t="s">
        <v>1384</v>
      </c>
      <c r="C257" s="15" t="s">
        <v>1385</v>
      </c>
      <c r="D257" s="24" t="s">
        <v>1379</v>
      </c>
      <c r="E257" s="24" t="s">
        <v>1386</v>
      </c>
      <c r="F257" s="24" t="s">
        <v>38</v>
      </c>
      <c r="G257" s="15" t="s">
        <v>52</v>
      </c>
      <c r="H257" s="15" t="s">
        <v>52</v>
      </c>
      <c r="I257" s="15" t="s">
        <v>221</v>
      </c>
      <c r="J257" s="15" t="s">
        <v>1351</v>
      </c>
      <c r="K257" s="15" t="s">
        <v>223</v>
      </c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7"/>
      <c r="X257" s="17"/>
      <c r="Y257" s="17"/>
      <c r="Z257" s="17"/>
    </row>
    <row r="258" ht="15.75" customHeight="1">
      <c r="A258" s="24" t="s">
        <v>340</v>
      </c>
      <c r="B258" s="24" t="s">
        <v>1387</v>
      </c>
      <c r="C258" s="15" t="s">
        <v>1388</v>
      </c>
      <c r="D258" s="24" t="s">
        <v>1389</v>
      </c>
      <c r="E258" s="24" t="s">
        <v>1390</v>
      </c>
      <c r="F258" s="24" t="s">
        <v>38</v>
      </c>
      <c r="G258" s="15" t="s">
        <v>52</v>
      </c>
      <c r="H258" s="15" t="s">
        <v>52</v>
      </c>
      <c r="I258" s="15" t="s">
        <v>221</v>
      </c>
      <c r="J258" s="15" t="s">
        <v>1351</v>
      </c>
      <c r="K258" s="15" t="s">
        <v>223</v>
      </c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7"/>
      <c r="X258" s="17"/>
      <c r="Y258" s="17"/>
      <c r="Z258" s="17"/>
    </row>
    <row r="259" ht="15.75" customHeight="1">
      <c r="A259" s="24" t="s">
        <v>547</v>
      </c>
      <c r="B259" s="24" t="s">
        <v>1393</v>
      </c>
      <c r="C259" s="15"/>
      <c r="D259" s="24" t="s">
        <v>1395</v>
      </c>
      <c r="E259" s="26" t="s">
        <v>1396</v>
      </c>
      <c r="F259" s="26" t="s">
        <v>151</v>
      </c>
      <c r="G259" s="21" t="s">
        <v>152</v>
      </c>
      <c r="H259" s="15" t="s">
        <v>52</v>
      </c>
      <c r="I259" s="15" t="s">
        <v>221</v>
      </c>
      <c r="J259" s="15" t="s">
        <v>1351</v>
      </c>
      <c r="K259" s="15" t="s">
        <v>223</v>
      </c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7"/>
      <c r="X259" s="17"/>
      <c r="Y259" s="17"/>
      <c r="Z259" s="17"/>
    </row>
    <row r="260" ht="15.75" customHeight="1">
      <c r="A260" s="24" t="s">
        <v>547</v>
      </c>
      <c r="B260" s="24" t="s">
        <v>1399</v>
      </c>
      <c r="C260" s="15" t="s">
        <v>1400</v>
      </c>
      <c r="D260" s="24" t="s">
        <v>1399</v>
      </c>
      <c r="E260" s="24" t="s">
        <v>1401</v>
      </c>
      <c r="F260" s="24" t="s">
        <v>38</v>
      </c>
      <c r="G260" s="15" t="s">
        <v>52</v>
      </c>
      <c r="H260" s="15" t="s">
        <v>52</v>
      </c>
      <c r="I260" s="15" t="s">
        <v>221</v>
      </c>
      <c r="J260" s="15" t="s">
        <v>1351</v>
      </c>
      <c r="K260" s="15" t="s">
        <v>223</v>
      </c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7"/>
      <c r="X260" s="17"/>
      <c r="Y260" s="17"/>
      <c r="Z260" s="17"/>
    </row>
    <row r="261" ht="15.75" customHeight="1">
      <c r="A261" s="24" t="s">
        <v>547</v>
      </c>
      <c r="B261" s="24" t="s">
        <v>1404</v>
      </c>
      <c r="C261" s="15"/>
      <c r="D261" s="24" t="s">
        <v>1405</v>
      </c>
      <c r="E261" s="26" t="s">
        <v>1407</v>
      </c>
      <c r="F261" s="26" t="s">
        <v>151</v>
      </c>
      <c r="G261" s="21" t="s">
        <v>152</v>
      </c>
      <c r="H261" s="15" t="s">
        <v>52</v>
      </c>
      <c r="I261" s="15" t="s">
        <v>221</v>
      </c>
      <c r="J261" s="15" t="s">
        <v>1351</v>
      </c>
      <c r="K261" s="15" t="s">
        <v>223</v>
      </c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7"/>
      <c r="X261" s="17"/>
      <c r="Y261" s="17"/>
      <c r="Z261" s="17"/>
    </row>
    <row r="262" ht="15.75" customHeight="1">
      <c r="A262" s="24" t="s">
        <v>547</v>
      </c>
      <c r="B262" s="24" t="s">
        <v>603</v>
      </c>
      <c r="C262" s="15" t="s">
        <v>1400</v>
      </c>
      <c r="D262" s="24" t="s">
        <v>603</v>
      </c>
      <c r="E262" s="24" t="s">
        <v>604</v>
      </c>
      <c r="F262" s="24" t="s">
        <v>38</v>
      </c>
      <c r="G262" s="15" t="s">
        <v>52</v>
      </c>
      <c r="H262" s="15" t="s">
        <v>52</v>
      </c>
      <c r="I262" s="15" t="s">
        <v>221</v>
      </c>
      <c r="J262" s="15" t="s">
        <v>1351</v>
      </c>
      <c r="K262" s="15" t="s">
        <v>223</v>
      </c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7"/>
      <c r="X262" s="17"/>
      <c r="Y262" s="17"/>
      <c r="Z262" s="17"/>
    </row>
    <row r="263" ht="15.75" customHeight="1">
      <c r="A263" s="15" t="s">
        <v>214</v>
      </c>
      <c r="B263" s="15" t="s">
        <v>89</v>
      </c>
      <c r="C263" s="15" t="s">
        <v>91</v>
      </c>
      <c r="D263" s="15" t="s">
        <v>1410</v>
      </c>
      <c r="E263" s="15" t="s">
        <v>250</v>
      </c>
      <c r="F263" s="15" t="s">
        <v>94</v>
      </c>
      <c r="G263" s="15" t="s">
        <v>91</v>
      </c>
      <c r="H263" s="15" t="s">
        <v>259</v>
      </c>
      <c r="I263" s="15" t="s">
        <v>41</v>
      </c>
      <c r="J263" s="15" t="s">
        <v>246</v>
      </c>
      <c r="K263" s="15" t="s">
        <v>98</v>
      </c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7"/>
      <c r="X263" s="17"/>
      <c r="Y263" s="17"/>
      <c r="Z263" s="17"/>
    </row>
    <row r="264" ht="15.75" customHeight="1">
      <c r="A264" s="15" t="s">
        <v>214</v>
      </c>
      <c r="B264" s="15" t="s">
        <v>89</v>
      </c>
      <c r="C264" s="15" t="s">
        <v>91</v>
      </c>
      <c r="D264" s="15" t="s">
        <v>1416</v>
      </c>
      <c r="E264" s="15" t="s">
        <v>63</v>
      </c>
      <c r="F264" s="15" t="s">
        <v>94</v>
      </c>
      <c r="G264" s="15" t="s">
        <v>91</v>
      </c>
      <c r="H264" s="15" t="s">
        <v>68</v>
      </c>
      <c r="I264" s="15" t="s">
        <v>41</v>
      </c>
      <c r="J264" s="15" t="s">
        <v>62</v>
      </c>
      <c r="K264" s="15" t="s">
        <v>98</v>
      </c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7"/>
      <c r="X264" s="17"/>
      <c r="Y264" s="17"/>
      <c r="Z264" s="17"/>
    </row>
    <row r="265" ht="15.75" customHeight="1">
      <c r="A265" s="15" t="s">
        <v>214</v>
      </c>
      <c r="B265" s="15" t="s">
        <v>89</v>
      </c>
      <c r="C265" s="15" t="s">
        <v>91</v>
      </c>
      <c r="D265" s="15" t="s">
        <v>1419</v>
      </c>
      <c r="E265" s="15" t="s">
        <v>267</v>
      </c>
      <c r="F265" s="15" t="s">
        <v>94</v>
      </c>
      <c r="G265" s="15" t="s">
        <v>91</v>
      </c>
      <c r="H265" s="15" t="s">
        <v>275</v>
      </c>
      <c r="I265" s="15" t="s">
        <v>41</v>
      </c>
      <c r="J265" s="15" t="s">
        <v>265</v>
      </c>
      <c r="K265" s="15" t="s">
        <v>98</v>
      </c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7"/>
      <c r="X265" s="17"/>
      <c r="Y265" s="17"/>
      <c r="Z265" s="17"/>
    </row>
    <row r="266" ht="15.75" customHeight="1">
      <c r="A266" s="15" t="s">
        <v>214</v>
      </c>
      <c r="B266" s="15" t="s">
        <v>89</v>
      </c>
      <c r="C266" s="15" t="s">
        <v>91</v>
      </c>
      <c r="D266" s="15" t="s">
        <v>1420</v>
      </c>
      <c r="E266" s="15" t="s">
        <v>80</v>
      </c>
      <c r="F266" s="15" t="s">
        <v>94</v>
      </c>
      <c r="G266" s="15" t="s">
        <v>91</v>
      </c>
      <c r="H266" s="15" t="s">
        <v>83</v>
      </c>
      <c r="I266" s="15" t="s">
        <v>41</v>
      </c>
      <c r="J266" s="15" t="s">
        <v>79</v>
      </c>
      <c r="K266" s="15" t="s">
        <v>98</v>
      </c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7"/>
      <c r="X266" s="17"/>
      <c r="Y266" s="17"/>
      <c r="Z266" s="17"/>
    </row>
    <row r="267" ht="15.75" customHeight="1">
      <c r="A267" s="15" t="s">
        <v>214</v>
      </c>
      <c r="B267" s="15" t="s">
        <v>89</v>
      </c>
      <c r="C267" s="15" t="s">
        <v>91</v>
      </c>
      <c r="D267" s="15" t="s">
        <v>1423</v>
      </c>
      <c r="E267" s="15" t="s">
        <v>1424</v>
      </c>
      <c r="F267" s="15" t="s">
        <v>94</v>
      </c>
      <c r="G267" s="15" t="s">
        <v>91</v>
      </c>
      <c r="H267" s="15" t="s">
        <v>1426</v>
      </c>
      <c r="I267" s="15" t="s">
        <v>41</v>
      </c>
      <c r="J267" s="15" t="s">
        <v>1427</v>
      </c>
      <c r="K267" s="15" t="s">
        <v>98</v>
      </c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7"/>
      <c r="X267" s="17"/>
      <c r="Y267" s="17"/>
      <c r="Z267" s="17"/>
    </row>
    <row r="268" ht="15.75" customHeight="1">
      <c r="A268" s="15" t="s">
        <v>214</v>
      </c>
      <c r="B268" s="15" t="s">
        <v>89</v>
      </c>
      <c r="C268" s="15" t="s">
        <v>91</v>
      </c>
      <c r="D268" s="15" t="s">
        <v>1429</v>
      </c>
      <c r="E268" s="15" t="s">
        <v>1430</v>
      </c>
      <c r="F268" s="15" t="s">
        <v>94</v>
      </c>
      <c r="G268" s="15" t="s">
        <v>91</v>
      </c>
      <c r="H268" s="15" t="s">
        <v>1431</v>
      </c>
      <c r="I268" s="15" t="s">
        <v>41</v>
      </c>
      <c r="J268" s="15" t="s">
        <v>1432</v>
      </c>
      <c r="K268" s="15" t="s">
        <v>98</v>
      </c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7"/>
      <c r="X268" s="17"/>
      <c r="Y268" s="17"/>
      <c r="Z268" s="17"/>
    </row>
    <row r="269" ht="15.75" customHeight="1">
      <c r="A269" s="15" t="s">
        <v>214</v>
      </c>
      <c r="B269" s="15" t="s">
        <v>89</v>
      </c>
      <c r="C269" s="15" t="s">
        <v>91</v>
      </c>
      <c r="D269" s="15" t="s">
        <v>1007</v>
      </c>
      <c r="E269" s="15" t="s">
        <v>1435</v>
      </c>
      <c r="F269" s="15" t="s">
        <v>94</v>
      </c>
      <c r="G269" s="15" t="s">
        <v>91</v>
      </c>
      <c r="H269" s="15" t="s">
        <v>1436</v>
      </c>
      <c r="I269" s="15" t="s">
        <v>41</v>
      </c>
      <c r="J269" s="15" t="s">
        <v>1437</v>
      </c>
      <c r="K269" s="15" t="s">
        <v>98</v>
      </c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7"/>
      <c r="X269" s="17"/>
      <c r="Y269" s="17"/>
      <c r="Z269" s="17"/>
    </row>
    <row r="270" ht="15.75" customHeight="1">
      <c r="A270" s="15" t="s">
        <v>214</v>
      </c>
      <c r="B270" s="15" t="s">
        <v>89</v>
      </c>
      <c r="C270" s="15" t="s">
        <v>91</v>
      </c>
      <c r="D270" s="15" t="s">
        <v>1442</v>
      </c>
      <c r="E270" s="15" t="s">
        <v>1114</v>
      </c>
      <c r="F270" s="15" t="s">
        <v>94</v>
      </c>
      <c r="G270" s="15" t="s">
        <v>91</v>
      </c>
      <c r="H270" s="15" t="s">
        <v>1127</v>
      </c>
      <c r="I270" s="15" t="s">
        <v>41</v>
      </c>
      <c r="J270" s="15" t="s">
        <v>1112</v>
      </c>
      <c r="K270" s="15" t="s">
        <v>98</v>
      </c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7"/>
      <c r="X270" s="17"/>
      <c r="Y270" s="17"/>
      <c r="Z270" s="17"/>
    </row>
    <row r="271" ht="15.75" customHeight="1">
      <c r="A271" s="15" t="s">
        <v>214</v>
      </c>
      <c r="B271" s="15" t="s">
        <v>89</v>
      </c>
      <c r="C271" s="15" t="s">
        <v>91</v>
      </c>
      <c r="D271" s="15" t="s">
        <v>1446</v>
      </c>
      <c r="E271" s="15" t="s">
        <v>1448</v>
      </c>
      <c r="F271" s="15" t="s">
        <v>94</v>
      </c>
      <c r="G271" s="15" t="s">
        <v>91</v>
      </c>
      <c r="H271" s="15" t="s">
        <v>1449</v>
      </c>
      <c r="I271" s="15" t="s">
        <v>41</v>
      </c>
      <c r="J271" s="16" t="s">
        <v>1450</v>
      </c>
      <c r="K271" s="15" t="s">
        <v>98</v>
      </c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7"/>
      <c r="X271" s="17"/>
      <c r="Y271" s="17"/>
      <c r="Z271" s="17"/>
    </row>
    <row r="272" ht="15.75" customHeight="1">
      <c r="A272" s="15" t="s">
        <v>214</v>
      </c>
      <c r="B272" s="15" t="s">
        <v>89</v>
      </c>
      <c r="C272" s="15" t="s">
        <v>91</v>
      </c>
      <c r="D272" s="15" t="s">
        <v>1442</v>
      </c>
      <c r="E272" s="15" t="s">
        <v>141</v>
      </c>
      <c r="F272" s="15" t="s">
        <v>94</v>
      </c>
      <c r="G272" s="15" t="s">
        <v>91</v>
      </c>
      <c r="H272" s="15" t="s">
        <v>148</v>
      </c>
      <c r="I272" s="15" t="s">
        <v>41</v>
      </c>
      <c r="J272" s="16" t="s">
        <v>140</v>
      </c>
      <c r="K272" s="15" t="s">
        <v>98</v>
      </c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7"/>
      <c r="X272" s="17"/>
      <c r="Y272" s="17"/>
      <c r="Z272" s="17"/>
    </row>
    <row r="273" ht="15.75" customHeight="1">
      <c r="A273" s="15" t="s">
        <v>214</v>
      </c>
      <c r="B273" s="15" t="s">
        <v>89</v>
      </c>
      <c r="C273" s="15" t="s">
        <v>91</v>
      </c>
      <c r="D273" s="15" t="s">
        <v>1453</v>
      </c>
      <c r="E273" s="15" t="s">
        <v>199</v>
      </c>
      <c r="F273" s="15" t="s">
        <v>94</v>
      </c>
      <c r="G273" s="15" t="s">
        <v>91</v>
      </c>
      <c r="H273" s="15" t="s">
        <v>204</v>
      </c>
      <c r="I273" s="15" t="s">
        <v>41</v>
      </c>
      <c r="J273" s="16" t="s">
        <v>198</v>
      </c>
      <c r="K273" s="15" t="s">
        <v>98</v>
      </c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7"/>
      <c r="X273" s="17"/>
      <c r="Y273" s="17"/>
      <c r="Z273" s="17"/>
    </row>
    <row r="274" ht="15.75" customHeight="1">
      <c r="A274" s="15" t="s">
        <v>214</v>
      </c>
      <c r="B274" s="15" t="s">
        <v>89</v>
      </c>
      <c r="C274" s="15" t="s">
        <v>91</v>
      </c>
      <c r="D274" s="15" t="s">
        <v>1007</v>
      </c>
      <c r="E274" s="15" t="s">
        <v>668</v>
      </c>
      <c r="F274" s="15" t="s">
        <v>94</v>
      </c>
      <c r="G274" s="15" t="s">
        <v>91</v>
      </c>
      <c r="H274" s="15" t="s">
        <v>671</v>
      </c>
      <c r="I274" s="15" t="s">
        <v>41</v>
      </c>
      <c r="J274" s="16" t="s">
        <v>666</v>
      </c>
      <c r="K274" s="15" t="s">
        <v>98</v>
      </c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7"/>
      <c r="X274" s="17"/>
      <c r="Y274" s="17"/>
      <c r="Z274" s="17"/>
    </row>
    <row r="275" ht="15.75" customHeight="1">
      <c r="A275" s="15" t="s">
        <v>214</v>
      </c>
      <c r="B275" s="15" t="s">
        <v>89</v>
      </c>
      <c r="C275" s="15" t="s">
        <v>91</v>
      </c>
      <c r="D275" s="15" t="s">
        <v>1007</v>
      </c>
      <c r="E275" s="15" t="s">
        <v>825</v>
      </c>
      <c r="F275" s="15" t="s">
        <v>94</v>
      </c>
      <c r="G275" s="15" t="s">
        <v>91</v>
      </c>
      <c r="H275" s="15" t="s">
        <v>1454</v>
      </c>
      <c r="I275" s="15" t="s">
        <v>41</v>
      </c>
      <c r="J275" s="16" t="s">
        <v>1455</v>
      </c>
      <c r="K275" s="15" t="s">
        <v>98</v>
      </c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7"/>
      <c r="X275" s="17"/>
      <c r="Y275" s="17"/>
      <c r="Z275" s="17"/>
    </row>
    <row r="276" ht="15.75" customHeight="1">
      <c r="A276" s="15" t="s">
        <v>214</v>
      </c>
      <c r="B276" s="15" t="s">
        <v>89</v>
      </c>
      <c r="C276" s="15" t="s">
        <v>91</v>
      </c>
      <c r="D276" s="15" t="s">
        <v>1456</v>
      </c>
      <c r="E276" s="15" t="s">
        <v>1457</v>
      </c>
      <c r="F276" s="15" t="s">
        <v>94</v>
      </c>
      <c r="G276" s="15" t="s">
        <v>91</v>
      </c>
      <c r="H276" s="15" t="s">
        <v>1458</v>
      </c>
      <c r="I276" s="15" t="s">
        <v>41</v>
      </c>
      <c r="J276" s="16" t="s">
        <v>1459</v>
      </c>
      <c r="K276" s="15" t="s">
        <v>98</v>
      </c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7"/>
      <c r="X276" s="17"/>
      <c r="Y276" s="17"/>
      <c r="Z276" s="17"/>
    </row>
    <row r="277" ht="15.75" customHeight="1">
      <c r="A277" s="15" t="s">
        <v>214</v>
      </c>
      <c r="B277" s="15" t="s">
        <v>89</v>
      </c>
      <c r="C277" s="15" t="s">
        <v>91</v>
      </c>
      <c r="D277" s="15" t="s">
        <v>1007</v>
      </c>
      <c r="E277" s="15" t="s">
        <v>1461</v>
      </c>
      <c r="F277" s="15" t="s">
        <v>94</v>
      </c>
      <c r="G277" s="15" t="s">
        <v>91</v>
      </c>
      <c r="H277" s="15" t="s">
        <v>1462</v>
      </c>
      <c r="I277" s="15" t="s">
        <v>41</v>
      </c>
      <c r="J277" s="16" t="s">
        <v>1463</v>
      </c>
      <c r="K277" s="15" t="s">
        <v>98</v>
      </c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7"/>
      <c r="X277" s="17"/>
      <c r="Y277" s="17"/>
      <c r="Z277" s="17"/>
    </row>
    <row r="278" ht="15.75" customHeight="1">
      <c r="A278" s="15" t="s">
        <v>214</v>
      </c>
      <c r="B278" s="15" t="s">
        <v>1195</v>
      </c>
      <c r="C278" s="15" t="s">
        <v>1197</v>
      </c>
      <c r="D278" s="15" t="s">
        <v>1195</v>
      </c>
      <c r="E278" s="15" t="s">
        <v>1195</v>
      </c>
      <c r="F278" s="15" t="s">
        <v>38</v>
      </c>
      <c r="G278" s="15" t="s">
        <v>217</v>
      </c>
      <c r="H278" s="15" t="s">
        <v>1201</v>
      </c>
      <c r="I278" s="15" t="s">
        <v>41</v>
      </c>
      <c r="J278" s="16" t="s">
        <v>1202</v>
      </c>
      <c r="K278" s="15" t="s">
        <v>223</v>
      </c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7"/>
      <c r="X278" s="17"/>
      <c r="Y278" s="17"/>
      <c r="Z278" s="17"/>
    </row>
    <row r="279" ht="15.75" customHeight="1">
      <c r="A279" s="15" t="s">
        <v>214</v>
      </c>
      <c r="B279" s="15" t="s">
        <v>89</v>
      </c>
      <c r="C279" s="15" t="s">
        <v>91</v>
      </c>
      <c r="D279" s="15" t="s">
        <v>1007</v>
      </c>
      <c r="E279" s="15" t="s">
        <v>1466</v>
      </c>
      <c r="F279" s="15" t="s">
        <v>94</v>
      </c>
      <c r="G279" s="15" t="s">
        <v>91</v>
      </c>
      <c r="H279" s="15" t="s">
        <v>1467</v>
      </c>
      <c r="I279" s="15" t="s">
        <v>41</v>
      </c>
      <c r="J279" s="16" t="s">
        <v>1202</v>
      </c>
      <c r="K279" s="15" t="s">
        <v>98</v>
      </c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7"/>
      <c r="X279" s="17"/>
      <c r="Y279" s="17"/>
      <c r="Z279" s="17"/>
    </row>
    <row r="280" ht="15.75" customHeight="1">
      <c r="A280" s="15" t="s">
        <v>214</v>
      </c>
      <c r="B280" s="15" t="s">
        <v>89</v>
      </c>
      <c r="C280" s="15" t="s">
        <v>91</v>
      </c>
      <c r="D280" s="15" t="s">
        <v>1468</v>
      </c>
      <c r="E280" s="15" t="s">
        <v>51</v>
      </c>
      <c r="F280" s="15" t="s">
        <v>94</v>
      </c>
      <c r="G280" s="15" t="s">
        <v>91</v>
      </c>
      <c r="H280" s="15" t="s">
        <v>58</v>
      </c>
      <c r="I280" s="15" t="s">
        <v>41</v>
      </c>
      <c r="J280" s="16" t="s">
        <v>46</v>
      </c>
      <c r="K280" s="15" t="s">
        <v>98</v>
      </c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7"/>
      <c r="X280" s="17"/>
      <c r="Y280" s="17"/>
      <c r="Z280" s="17"/>
    </row>
    <row r="281" ht="15.75" customHeight="1">
      <c r="A281" s="15" t="s">
        <v>214</v>
      </c>
      <c r="B281" s="15" t="s">
        <v>89</v>
      </c>
      <c r="C281" s="15" t="s">
        <v>91</v>
      </c>
      <c r="D281" s="15" t="s">
        <v>1469</v>
      </c>
      <c r="E281" s="15" t="s">
        <v>228</v>
      </c>
      <c r="F281" s="15" t="s">
        <v>94</v>
      </c>
      <c r="G281" s="15" t="s">
        <v>91</v>
      </c>
      <c r="H281" s="15" t="s">
        <v>236</v>
      </c>
      <c r="I281" s="15" t="s">
        <v>41</v>
      </c>
      <c r="J281" s="16" t="s">
        <v>227</v>
      </c>
      <c r="K281" s="15" t="s">
        <v>98</v>
      </c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7"/>
      <c r="X281" s="17"/>
      <c r="Y281" s="17"/>
      <c r="Z281" s="17"/>
    </row>
    <row r="282" ht="15.75" customHeight="1">
      <c r="A282" s="15" t="s">
        <v>214</v>
      </c>
      <c r="B282" s="15" t="s">
        <v>89</v>
      </c>
      <c r="C282" s="15" t="s">
        <v>91</v>
      </c>
      <c r="D282" s="15" t="s">
        <v>1471</v>
      </c>
      <c r="E282" s="15" t="s">
        <v>617</v>
      </c>
      <c r="F282" s="15" t="s">
        <v>94</v>
      </c>
      <c r="G282" s="15" t="s">
        <v>91</v>
      </c>
      <c r="H282" s="15" t="s">
        <v>620</v>
      </c>
      <c r="I282" s="15" t="s">
        <v>41</v>
      </c>
      <c r="J282" s="16" t="s">
        <v>616</v>
      </c>
      <c r="K282" s="15" t="s">
        <v>98</v>
      </c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7"/>
      <c r="X282" s="17"/>
      <c r="Y282" s="17"/>
      <c r="Z282" s="17"/>
    </row>
    <row r="283" ht="15.75" customHeight="1">
      <c r="A283" s="15" t="s">
        <v>214</v>
      </c>
      <c r="B283" s="15" t="s">
        <v>89</v>
      </c>
      <c r="C283" s="15" t="s">
        <v>91</v>
      </c>
      <c r="D283" s="15" t="s">
        <v>1007</v>
      </c>
      <c r="E283" s="15" t="s">
        <v>1473</v>
      </c>
      <c r="F283" s="15" t="s">
        <v>94</v>
      </c>
      <c r="G283" s="15" t="s">
        <v>91</v>
      </c>
      <c r="H283" s="15" t="s">
        <v>1474</v>
      </c>
      <c r="I283" s="15" t="s">
        <v>41</v>
      </c>
      <c r="J283" s="16" t="s">
        <v>1475</v>
      </c>
      <c r="K283" s="15" t="s">
        <v>98</v>
      </c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7"/>
      <c r="X283" s="17"/>
      <c r="Y283" s="17"/>
      <c r="Z283" s="17"/>
    </row>
    <row r="284" ht="15.75" customHeight="1">
      <c r="A284" s="15" t="s">
        <v>214</v>
      </c>
      <c r="B284" s="15" t="s">
        <v>89</v>
      </c>
      <c r="C284" s="15" t="s">
        <v>91</v>
      </c>
      <c r="D284" s="15" t="s">
        <v>391</v>
      </c>
      <c r="E284" s="15" t="s">
        <v>1476</v>
      </c>
      <c r="F284" s="15" t="s">
        <v>94</v>
      </c>
      <c r="G284" s="15" t="s">
        <v>91</v>
      </c>
      <c r="H284" s="15" t="s">
        <v>1478</v>
      </c>
      <c r="I284" s="15" t="s">
        <v>41</v>
      </c>
      <c r="J284" s="16" t="s">
        <v>1481</v>
      </c>
      <c r="K284" s="15" t="s">
        <v>98</v>
      </c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7"/>
      <c r="X284" s="17"/>
      <c r="Y284" s="17"/>
      <c r="Z284" s="17"/>
    </row>
    <row r="285" ht="15.75" customHeight="1">
      <c r="A285" s="15" t="s">
        <v>214</v>
      </c>
      <c r="B285" s="15" t="s">
        <v>89</v>
      </c>
      <c r="C285" s="15" t="s">
        <v>91</v>
      </c>
      <c r="D285" s="15" t="s">
        <v>1482</v>
      </c>
      <c r="E285" s="15" t="s">
        <v>1483</v>
      </c>
      <c r="F285" s="15" t="s">
        <v>94</v>
      </c>
      <c r="G285" s="15" t="s">
        <v>91</v>
      </c>
      <c r="H285" s="15" t="s">
        <v>1485</v>
      </c>
      <c r="I285" s="15" t="s">
        <v>41</v>
      </c>
      <c r="J285" s="16" t="s">
        <v>1486</v>
      </c>
      <c r="K285" s="15" t="s">
        <v>98</v>
      </c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7"/>
      <c r="X285" s="17"/>
      <c r="Y285" s="17"/>
      <c r="Z285" s="17"/>
    </row>
    <row r="286" ht="15.75" customHeight="1">
      <c r="A286" s="15" t="s">
        <v>214</v>
      </c>
      <c r="B286" s="15" t="s">
        <v>89</v>
      </c>
      <c r="C286" s="15" t="s">
        <v>91</v>
      </c>
      <c r="D286" s="15" t="s">
        <v>1487</v>
      </c>
      <c r="E286" s="15" t="s">
        <v>1488</v>
      </c>
      <c r="F286" s="15" t="s">
        <v>94</v>
      </c>
      <c r="G286" s="15" t="s">
        <v>91</v>
      </c>
      <c r="H286" s="15" t="s">
        <v>1489</v>
      </c>
      <c r="I286" s="15" t="s">
        <v>41</v>
      </c>
      <c r="J286" s="16" t="s">
        <v>1490</v>
      </c>
      <c r="K286" s="15" t="s">
        <v>98</v>
      </c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7"/>
      <c r="X286" s="17"/>
      <c r="Y286" s="17"/>
      <c r="Z286" s="17"/>
    </row>
    <row r="287" ht="15.75" customHeight="1">
      <c r="A287" s="15" t="s">
        <v>214</v>
      </c>
      <c r="B287" s="15" t="s">
        <v>89</v>
      </c>
      <c r="C287" s="15" t="s">
        <v>91</v>
      </c>
      <c r="D287" s="15" t="s">
        <v>1491</v>
      </c>
      <c r="E287" s="15" t="s">
        <v>953</v>
      </c>
      <c r="F287" s="15" t="s">
        <v>94</v>
      </c>
      <c r="G287" s="15" t="s">
        <v>91</v>
      </c>
      <c r="H287" s="15" t="s">
        <v>958</v>
      </c>
      <c r="I287" s="15" t="s">
        <v>41</v>
      </c>
      <c r="J287" s="16" t="s">
        <v>951</v>
      </c>
      <c r="K287" s="15" t="s">
        <v>98</v>
      </c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7"/>
      <c r="X287" s="17"/>
      <c r="Y287" s="17"/>
      <c r="Z287" s="17"/>
    </row>
    <row r="288" ht="15.75" customHeight="1">
      <c r="A288" s="15" t="s">
        <v>214</v>
      </c>
      <c r="B288" s="15" t="s">
        <v>89</v>
      </c>
      <c r="C288" s="15" t="s">
        <v>91</v>
      </c>
      <c r="D288" s="15" t="s">
        <v>1492</v>
      </c>
      <c r="E288" s="15" t="s">
        <v>532</v>
      </c>
      <c r="F288" s="15" t="s">
        <v>94</v>
      </c>
      <c r="G288" s="15" t="s">
        <v>91</v>
      </c>
      <c r="H288" s="15" t="s">
        <v>546</v>
      </c>
      <c r="I288" s="15" t="s">
        <v>41</v>
      </c>
      <c r="J288" s="16" t="s">
        <v>531</v>
      </c>
      <c r="K288" s="15" t="s">
        <v>98</v>
      </c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7"/>
      <c r="X288" s="17"/>
      <c r="Y288" s="17"/>
      <c r="Z288" s="17"/>
    </row>
    <row r="289" ht="15.75" customHeight="1">
      <c r="A289" s="15" t="s">
        <v>214</v>
      </c>
      <c r="B289" s="15" t="s">
        <v>89</v>
      </c>
      <c r="C289" s="15" t="s">
        <v>91</v>
      </c>
      <c r="D289" s="15" t="s">
        <v>1493</v>
      </c>
      <c r="E289" s="15" t="s">
        <v>745</v>
      </c>
      <c r="F289" s="15" t="s">
        <v>94</v>
      </c>
      <c r="G289" s="15" t="s">
        <v>91</v>
      </c>
      <c r="H289" s="15" t="s">
        <v>757</v>
      </c>
      <c r="I289" s="15" t="s">
        <v>41</v>
      </c>
      <c r="J289" s="16" t="s">
        <v>743</v>
      </c>
      <c r="K289" s="15" t="s">
        <v>98</v>
      </c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7"/>
      <c r="X289" s="17"/>
      <c r="Y289" s="17"/>
      <c r="Z289" s="17"/>
    </row>
    <row r="290" ht="15.75" customHeight="1">
      <c r="A290" s="15" t="s">
        <v>214</v>
      </c>
      <c r="B290" s="15" t="s">
        <v>89</v>
      </c>
      <c r="C290" s="15" t="s">
        <v>91</v>
      </c>
      <c r="D290" s="15" t="s">
        <v>1494</v>
      </c>
      <c r="E290" s="15" t="s">
        <v>1495</v>
      </c>
      <c r="F290" s="15" t="s">
        <v>94</v>
      </c>
      <c r="G290" s="15" t="s">
        <v>91</v>
      </c>
      <c r="H290" s="15" t="s">
        <v>1496</v>
      </c>
      <c r="I290" s="15" t="s">
        <v>41</v>
      </c>
      <c r="J290" s="16" t="s">
        <v>1497</v>
      </c>
      <c r="K290" s="15" t="s">
        <v>98</v>
      </c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7"/>
      <c r="X290" s="17"/>
      <c r="Y290" s="17"/>
      <c r="Z290" s="17"/>
    </row>
    <row r="291" ht="15.75" customHeight="1">
      <c r="A291" s="24" t="s">
        <v>547</v>
      </c>
      <c r="B291" s="24" t="s">
        <v>1498</v>
      </c>
      <c r="C291" s="15" t="s">
        <v>1498</v>
      </c>
      <c r="D291" s="24" t="s">
        <v>1499</v>
      </c>
      <c r="E291" s="27" t="s">
        <v>1500</v>
      </c>
      <c r="F291" s="27" t="s">
        <v>278</v>
      </c>
      <c r="G291" s="15" t="s">
        <v>52</v>
      </c>
      <c r="H291" s="15" t="s">
        <v>52</v>
      </c>
      <c r="I291" s="15" t="s">
        <v>221</v>
      </c>
      <c r="J291" s="15" t="s">
        <v>1351</v>
      </c>
      <c r="K291" s="15" t="s">
        <v>223</v>
      </c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7"/>
      <c r="X291" s="17"/>
      <c r="Y291" s="17"/>
      <c r="Z291" s="17"/>
    </row>
    <row r="292" ht="15.75" customHeight="1">
      <c r="A292" s="24" t="s">
        <v>696</v>
      </c>
      <c r="B292" s="24" t="s">
        <v>870</v>
      </c>
      <c r="C292" s="15" t="s">
        <v>1501</v>
      </c>
      <c r="D292" s="24" t="s">
        <v>870</v>
      </c>
      <c r="E292" s="24" t="s">
        <v>871</v>
      </c>
      <c r="F292" s="24" t="s">
        <v>38</v>
      </c>
      <c r="G292" s="15" t="s">
        <v>1502</v>
      </c>
      <c r="H292" s="15" t="s">
        <v>52</v>
      </c>
      <c r="I292" s="15" t="s">
        <v>221</v>
      </c>
      <c r="J292" s="15" t="s">
        <v>1351</v>
      </c>
      <c r="K292" s="15" t="s">
        <v>223</v>
      </c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7"/>
      <c r="X292" s="17"/>
      <c r="Y292" s="17"/>
      <c r="Z292" s="17"/>
    </row>
    <row r="293" ht="15.75" customHeight="1">
      <c r="A293" s="24" t="s">
        <v>696</v>
      </c>
      <c r="B293" s="24" t="s">
        <v>607</v>
      </c>
      <c r="C293" s="15" t="s">
        <v>1503</v>
      </c>
      <c r="D293" s="24" t="s">
        <v>607</v>
      </c>
      <c r="E293" s="24" t="s">
        <v>613</v>
      </c>
      <c r="F293" s="24" t="s">
        <v>38</v>
      </c>
      <c r="G293" s="15" t="s">
        <v>1504</v>
      </c>
      <c r="H293" s="15" t="s">
        <v>52</v>
      </c>
      <c r="I293" s="15" t="s">
        <v>221</v>
      </c>
      <c r="J293" s="15" t="s">
        <v>1351</v>
      </c>
      <c r="K293" s="15" t="s">
        <v>223</v>
      </c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7"/>
      <c r="X293" s="17"/>
      <c r="Y293" s="17"/>
      <c r="Z293" s="17"/>
    </row>
    <row r="294" ht="15.75" customHeight="1">
      <c r="A294" s="24" t="s">
        <v>696</v>
      </c>
      <c r="B294" s="24" t="s">
        <v>934</v>
      </c>
      <c r="C294" s="15" t="s">
        <v>1505</v>
      </c>
      <c r="D294" s="24" t="s">
        <v>934</v>
      </c>
      <c r="E294" s="24" t="s">
        <v>935</v>
      </c>
      <c r="F294" s="24" t="s">
        <v>38</v>
      </c>
      <c r="G294" s="15" t="s">
        <v>1506</v>
      </c>
      <c r="H294" s="15" t="s">
        <v>52</v>
      </c>
      <c r="I294" s="15" t="s">
        <v>221</v>
      </c>
      <c r="J294" s="15" t="s">
        <v>1351</v>
      </c>
      <c r="K294" s="15" t="s">
        <v>223</v>
      </c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7"/>
      <c r="X294" s="17"/>
      <c r="Y294" s="17"/>
      <c r="Z294" s="17"/>
    </row>
    <row r="295" ht="15.75" customHeight="1">
      <c r="A295" s="24" t="s">
        <v>696</v>
      </c>
      <c r="B295" s="24" t="s">
        <v>1507</v>
      </c>
      <c r="C295" s="15" t="s">
        <v>1508</v>
      </c>
      <c r="D295" s="24" t="s">
        <v>1507</v>
      </c>
      <c r="E295" s="24" t="s">
        <v>1244</v>
      </c>
      <c r="F295" s="24" t="s">
        <v>38</v>
      </c>
      <c r="G295" s="15" t="s">
        <v>1509</v>
      </c>
      <c r="H295" s="15" t="s">
        <v>52</v>
      </c>
      <c r="I295" s="15" t="s">
        <v>221</v>
      </c>
      <c r="J295" s="15" t="s">
        <v>1351</v>
      </c>
      <c r="K295" s="15" t="s">
        <v>223</v>
      </c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7"/>
      <c r="X295" s="17"/>
      <c r="Y295" s="17"/>
      <c r="Z295" s="17"/>
    </row>
    <row r="296" ht="15.75" customHeight="1">
      <c r="A296" s="24" t="s">
        <v>696</v>
      </c>
      <c r="B296" s="24" t="s">
        <v>914</v>
      </c>
      <c r="C296" s="15" t="s">
        <v>1508</v>
      </c>
      <c r="D296" s="24" t="s">
        <v>914</v>
      </c>
      <c r="E296" s="24" t="s">
        <v>1510</v>
      </c>
      <c r="F296" s="24" t="s">
        <v>38</v>
      </c>
      <c r="G296" s="15" t="s">
        <v>1509</v>
      </c>
      <c r="H296" s="15" t="s">
        <v>52</v>
      </c>
      <c r="I296" s="15" t="s">
        <v>221</v>
      </c>
      <c r="J296" s="15" t="s">
        <v>1351</v>
      </c>
      <c r="K296" s="15" t="s">
        <v>223</v>
      </c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7"/>
      <c r="X296" s="17"/>
      <c r="Y296" s="17"/>
      <c r="Z296" s="17"/>
    </row>
    <row r="297" ht="15.75" customHeight="1">
      <c r="A297" s="24" t="s">
        <v>696</v>
      </c>
      <c r="B297" s="24" t="s">
        <v>1511</v>
      </c>
      <c r="C297" s="15" t="s">
        <v>520</v>
      </c>
      <c r="D297" s="24" t="s">
        <v>1091</v>
      </c>
      <c r="E297" s="24" t="s">
        <v>1511</v>
      </c>
      <c r="F297" s="24" t="s">
        <v>38</v>
      </c>
      <c r="G297" s="15" t="s">
        <v>52</v>
      </c>
      <c r="H297" s="15" t="s">
        <v>52</v>
      </c>
      <c r="I297" s="15" t="s">
        <v>221</v>
      </c>
      <c r="J297" s="15" t="s">
        <v>1351</v>
      </c>
      <c r="K297" s="15" t="s">
        <v>223</v>
      </c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7"/>
      <c r="X297" s="17"/>
      <c r="Y297" s="17"/>
      <c r="Z297" s="17"/>
    </row>
    <row r="298" ht="15.75" customHeight="1">
      <c r="A298" s="24" t="s">
        <v>229</v>
      </c>
      <c r="B298" s="24" t="s">
        <v>1512</v>
      </c>
      <c r="C298" s="15" t="s">
        <v>1513</v>
      </c>
      <c r="D298" s="24" t="s">
        <v>1512</v>
      </c>
      <c r="E298" s="24" t="s">
        <v>1514</v>
      </c>
      <c r="F298" s="24" t="s">
        <v>38</v>
      </c>
      <c r="G298" s="15" t="s">
        <v>1357</v>
      </c>
      <c r="H298" s="15" t="s">
        <v>52</v>
      </c>
      <c r="I298" s="15" t="s">
        <v>221</v>
      </c>
      <c r="J298" s="15" t="s">
        <v>1351</v>
      </c>
      <c r="K298" s="15" t="s">
        <v>223</v>
      </c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7"/>
      <c r="X298" s="17"/>
      <c r="Y298" s="17"/>
      <c r="Z298" s="17"/>
    </row>
    <row r="299" ht="15.75" customHeight="1">
      <c r="A299" s="24" t="s">
        <v>229</v>
      </c>
      <c r="B299" s="24" t="s">
        <v>1515</v>
      </c>
      <c r="C299" s="15" t="s">
        <v>1516</v>
      </c>
      <c r="D299" s="24" t="s">
        <v>1515</v>
      </c>
      <c r="E299" s="24" t="s">
        <v>1517</v>
      </c>
      <c r="F299" s="24" t="s">
        <v>38</v>
      </c>
      <c r="G299" s="15" t="s">
        <v>1357</v>
      </c>
      <c r="H299" s="15" t="s">
        <v>52</v>
      </c>
      <c r="I299" s="15" t="s">
        <v>221</v>
      </c>
      <c r="J299" s="15" t="s">
        <v>1351</v>
      </c>
      <c r="K299" s="15" t="s">
        <v>223</v>
      </c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7"/>
      <c r="X299" s="17"/>
      <c r="Y299" s="17"/>
      <c r="Z299" s="17"/>
    </row>
    <row r="300" ht="15.75" customHeight="1">
      <c r="A300" s="24" t="s">
        <v>229</v>
      </c>
      <c r="B300" s="24" t="s">
        <v>1219</v>
      </c>
      <c r="C300" s="15" t="s">
        <v>1518</v>
      </c>
      <c r="D300" s="24" t="s">
        <v>1219</v>
      </c>
      <c r="E300" s="24" t="s">
        <v>1220</v>
      </c>
      <c r="F300" s="24" t="s">
        <v>38</v>
      </c>
      <c r="G300" s="15" t="s">
        <v>1357</v>
      </c>
      <c r="H300" s="15" t="s">
        <v>52</v>
      </c>
      <c r="I300" s="15" t="s">
        <v>221</v>
      </c>
      <c r="J300" s="15" t="s">
        <v>1351</v>
      </c>
      <c r="K300" s="15" t="s">
        <v>223</v>
      </c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7"/>
      <c r="X300" s="17"/>
      <c r="Y300" s="17"/>
      <c r="Z300" s="17"/>
    </row>
    <row r="301" ht="15.75" customHeight="1">
      <c r="A301" s="24" t="s">
        <v>229</v>
      </c>
      <c r="B301" s="24" t="s">
        <v>1519</v>
      </c>
      <c r="C301" s="15"/>
      <c r="D301" s="24" t="s">
        <v>1520</v>
      </c>
      <c r="E301" s="26" t="s">
        <v>1519</v>
      </c>
      <c r="F301" s="26" t="s">
        <v>151</v>
      </c>
      <c r="G301" s="21" t="s">
        <v>152</v>
      </c>
      <c r="H301" s="15" t="s">
        <v>52</v>
      </c>
      <c r="I301" s="15" t="s">
        <v>221</v>
      </c>
      <c r="J301" s="15" t="s">
        <v>1351</v>
      </c>
      <c r="K301" s="15" t="s">
        <v>223</v>
      </c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7"/>
      <c r="X301" s="17"/>
      <c r="Y301" s="17"/>
      <c r="Z301" s="17"/>
    </row>
    <row r="302" ht="15.75" customHeight="1">
      <c r="A302" s="24" t="s">
        <v>229</v>
      </c>
      <c r="B302" s="24" t="s">
        <v>1521</v>
      </c>
      <c r="C302" s="15" t="s">
        <v>1522</v>
      </c>
      <c r="D302" s="24" t="s">
        <v>1523</v>
      </c>
      <c r="E302" s="24" t="s">
        <v>1521</v>
      </c>
      <c r="F302" s="24" t="s">
        <v>38</v>
      </c>
      <c r="G302" s="15" t="s">
        <v>52</v>
      </c>
      <c r="H302" s="15" t="s">
        <v>52</v>
      </c>
      <c r="I302" s="15" t="s">
        <v>221</v>
      </c>
      <c r="J302" s="15" t="s">
        <v>1351</v>
      </c>
      <c r="K302" s="15" t="s">
        <v>223</v>
      </c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7"/>
      <c r="X302" s="17"/>
      <c r="Y302" s="17"/>
      <c r="Z302" s="17"/>
    </row>
    <row r="303" ht="15.75" customHeight="1">
      <c r="A303" s="24" t="s">
        <v>214</v>
      </c>
      <c r="B303" s="24" t="s">
        <v>250</v>
      </c>
      <c r="C303" s="15" t="s">
        <v>1524</v>
      </c>
      <c r="D303" s="24" t="s">
        <v>1410</v>
      </c>
      <c r="E303" s="24" t="s">
        <v>250</v>
      </c>
      <c r="F303" s="24" t="s">
        <v>38</v>
      </c>
      <c r="G303" s="15" t="s">
        <v>1357</v>
      </c>
      <c r="H303" s="15" t="s">
        <v>52</v>
      </c>
      <c r="I303" s="15" t="s">
        <v>221</v>
      </c>
      <c r="J303" s="15" t="s">
        <v>1351</v>
      </c>
      <c r="K303" s="15" t="s">
        <v>223</v>
      </c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7"/>
      <c r="X303" s="17"/>
      <c r="Y303" s="17"/>
      <c r="Z303" s="17"/>
    </row>
    <row r="304" ht="15.75" customHeight="1">
      <c r="A304" s="24" t="s">
        <v>214</v>
      </c>
      <c r="B304" s="24" t="s">
        <v>1526</v>
      </c>
      <c r="C304" s="15" t="s">
        <v>1527</v>
      </c>
      <c r="D304" s="24" t="s">
        <v>1419</v>
      </c>
      <c r="E304" s="24" t="s">
        <v>267</v>
      </c>
      <c r="F304" s="24" t="s">
        <v>38</v>
      </c>
      <c r="G304" s="15" t="s">
        <v>1357</v>
      </c>
      <c r="H304" s="15" t="s">
        <v>52</v>
      </c>
      <c r="I304" s="15" t="s">
        <v>221</v>
      </c>
      <c r="J304" s="15" t="s">
        <v>1351</v>
      </c>
      <c r="K304" s="15" t="s">
        <v>223</v>
      </c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7"/>
      <c r="X304" s="17"/>
      <c r="Y304" s="17"/>
      <c r="Z304" s="17"/>
    </row>
    <row r="305" ht="15.75" customHeight="1">
      <c r="A305" s="24" t="s">
        <v>214</v>
      </c>
      <c r="B305" s="24" t="s">
        <v>1528</v>
      </c>
      <c r="C305" s="15" t="s">
        <v>1529</v>
      </c>
      <c r="D305" s="24" t="s">
        <v>1530</v>
      </c>
      <c r="E305" s="24" t="s">
        <v>1528</v>
      </c>
      <c r="F305" s="24" t="s">
        <v>38</v>
      </c>
      <c r="G305" s="15" t="s">
        <v>52</v>
      </c>
      <c r="H305" s="15" t="s">
        <v>52</v>
      </c>
      <c r="I305" s="15" t="s">
        <v>221</v>
      </c>
      <c r="J305" s="15" t="s">
        <v>1351</v>
      </c>
      <c r="K305" s="15" t="s">
        <v>223</v>
      </c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7"/>
      <c r="X305" s="17"/>
      <c r="Y305" s="17"/>
      <c r="Z305" s="17"/>
    </row>
    <row r="306" ht="15.75" customHeight="1">
      <c r="A306" s="24" t="s">
        <v>214</v>
      </c>
      <c r="B306" s="24" t="s">
        <v>1533</v>
      </c>
      <c r="C306" s="15" t="s">
        <v>1529</v>
      </c>
      <c r="D306" s="24" t="s">
        <v>1534</v>
      </c>
      <c r="E306" s="24" t="s">
        <v>1533</v>
      </c>
      <c r="F306" s="24" t="s">
        <v>38</v>
      </c>
      <c r="G306" s="15" t="s">
        <v>52</v>
      </c>
      <c r="H306" s="15" t="s">
        <v>52</v>
      </c>
      <c r="I306" s="15" t="s">
        <v>221</v>
      </c>
      <c r="J306" s="15" t="s">
        <v>1351</v>
      </c>
      <c r="K306" s="15" t="s">
        <v>223</v>
      </c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7"/>
      <c r="X306" s="17"/>
      <c r="Y306" s="17"/>
      <c r="Z306" s="17"/>
    </row>
    <row r="307" ht="15.75" customHeight="1">
      <c r="A307" s="24" t="s">
        <v>214</v>
      </c>
      <c r="B307" s="24" t="s">
        <v>1536</v>
      </c>
      <c r="C307" s="15" t="s">
        <v>1527</v>
      </c>
      <c r="D307" s="24" t="s">
        <v>1416</v>
      </c>
      <c r="E307" s="24" t="s">
        <v>1537</v>
      </c>
      <c r="F307" s="24" t="s">
        <v>38</v>
      </c>
      <c r="G307" s="15" t="s">
        <v>1357</v>
      </c>
      <c r="H307" s="15" t="s">
        <v>52</v>
      </c>
      <c r="I307" s="15" t="s">
        <v>221</v>
      </c>
      <c r="J307" s="15" t="s">
        <v>1351</v>
      </c>
      <c r="K307" s="15" t="s">
        <v>223</v>
      </c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7"/>
      <c r="X307" s="17"/>
      <c r="Y307" s="17"/>
      <c r="Z307" s="17"/>
    </row>
    <row r="308" ht="15.75" customHeight="1">
      <c r="A308" s="24" t="s">
        <v>214</v>
      </c>
      <c r="B308" s="24" t="s">
        <v>1538</v>
      </c>
      <c r="C308" s="15" t="s">
        <v>1527</v>
      </c>
      <c r="D308" s="24" t="s">
        <v>1416</v>
      </c>
      <c r="E308" s="24" t="s">
        <v>1539</v>
      </c>
      <c r="F308" s="24" t="s">
        <v>38</v>
      </c>
      <c r="G308" s="15" t="s">
        <v>1357</v>
      </c>
      <c r="H308" s="15" t="s">
        <v>52</v>
      </c>
      <c r="I308" s="15" t="s">
        <v>221</v>
      </c>
      <c r="J308" s="15" t="s">
        <v>1351</v>
      </c>
      <c r="K308" s="15" t="s">
        <v>223</v>
      </c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7"/>
      <c r="X308" s="17"/>
      <c r="Y308" s="17"/>
      <c r="Z308" s="17"/>
    </row>
    <row r="309" ht="15.75" customHeight="1">
      <c r="A309" s="24" t="s">
        <v>214</v>
      </c>
      <c r="B309" s="24" t="s">
        <v>1541</v>
      </c>
      <c r="C309" s="15" t="s">
        <v>1542</v>
      </c>
      <c r="D309" s="24" t="s">
        <v>1420</v>
      </c>
      <c r="E309" s="24" t="s">
        <v>1541</v>
      </c>
      <c r="F309" s="24" t="s">
        <v>38</v>
      </c>
      <c r="G309" s="15" t="s">
        <v>1357</v>
      </c>
      <c r="H309" s="15" t="s">
        <v>52</v>
      </c>
      <c r="I309" s="15" t="s">
        <v>221</v>
      </c>
      <c r="J309" s="15" t="s">
        <v>1351</v>
      </c>
      <c r="K309" s="15" t="s">
        <v>223</v>
      </c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7"/>
      <c r="X309" s="17"/>
      <c r="Y309" s="17"/>
      <c r="Z309" s="17"/>
    </row>
    <row r="310" ht="15.75" customHeight="1">
      <c r="A310" s="24" t="s">
        <v>214</v>
      </c>
      <c r="B310" s="24" t="s">
        <v>1114</v>
      </c>
      <c r="C310" s="15" t="s">
        <v>1543</v>
      </c>
      <c r="D310" s="24" t="s">
        <v>1442</v>
      </c>
      <c r="E310" s="24" t="s">
        <v>1114</v>
      </c>
      <c r="F310" s="24" t="s">
        <v>38</v>
      </c>
      <c r="G310" s="15" t="s">
        <v>1357</v>
      </c>
      <c r="H310" s="15" t="s">
        <v>52</v>
      </c>
      <c r="I310" s="15" t="s">
        <v>221</v>
      </c>
      <c r="J310" s="15" t="s">
        <v>1351</v>
      </c>
      <c r="K310" s="15" t="s">
        <v>223</v>
      </c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7"/>
      <c r="X310" s="17"/>
      <c r="Y310" s="17"/>
      <c r="Z310" s="17"/>
    </row>
    <row r="311" ht="15.75" customHeight="1">
      <c r="A311" s="24" t="s">
        <v>214</v>
      </c>
      <c r="B311" s="24" t="s">
        <v>1544</v>
      </c>
      <c r="C311" s="15" t="s">
        <v>1527</v>
      </c>
      <c r="D311" s="24" t="s">
        <v>1453</v>
      </c>
      <c r="E311" s="24" t="s">
        <v>1545</v>
      </c>
      <c r="F311" s="24" t="s">
        <v>38</v>
      </c>
      <c r="G311" s="15" t="s">
        <v>1357</v>
      </c>
      <c r="H311" s="15" t="s">
        <v>52</v>
      </c>
      <c r="I311" s="15" t="s">
        <v>221</v>
      </c>
      <c r="J311" s="15" t="s">
        <v>1351</v>
      </c>
      <c r="K311" s="15" t="s">
        <v>223</v>
      </c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7"/>
      <c r="X311" s="17"/>
      <c r="Y311" s="17"/>
      <c r="Z311" s="17"/>
    </row>
    <row r="312" ht="15.75" customHeight="1">
      <c r="A312" s="24" t="s">
        <v>214</v>
      </c>
      <c r="B312" s="24" t="s">
        <v>1547</v>
      </c>
      <c r="C312" s="15" t="s">
        <v>1548</v>
      </c>
      <c r="D312" s="24" t="s">
        <v>1469</v>
      </c>
      <c r="E312" s="24" t="s">
        <v>1547</v>
      </c>
      <c r="F312" s="24" t="s">
        <v>38</v>
      </c>
      <c r="G312" s="15" t="s">
        <v>1357</v>
      </c>
      <c r="H312" s="15" t="s">
        <v>52</v>
      </c>
      <c r="I312" s="15" t="s">
        <v>221</v>
      </c>
      <c r="J312" s="15" t="s">
        <v>1351</v>
      </c>
      <c r="K312" s="15" t="s">
        <v>223</v>
      </c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7"/>
      <c r="X312" s="17"/>
      <c r="Y312" s="17"/>
      <c r="Z312" s="17"/>
    </row>
    <row r="313" ht="15.75" customHeight="1">
      <c r="A313" s="24" t="s">
        <v>214</v>
      </c>
      <c r="B313" s="24" t="s">
        <v>1549</v>
      </c>
      <c r="C313" s="15" t="s">
        <v>1550</v>
      </c>
      <c r="D313" s="24" t="s">
        <v>1551</v>
      </c>
      <c r="E313" s="24" t="s">
        <v>1549</v>
      </c>
      <c r="F313" s="24" t="s">
        <v>38</v>
      </c>
      <c r="G313" s="15" t="s">
        <v>1357</v>
      </c>
      <c r="H313" s="15" t="s">
        <v>52</v>
      </c>
      <c r="I313" s="15" t="s">
        <v>221</v>
      </c>
      <c r="J313" s="15" t="s">
        <v>1351</v>
      </c>
      <c r="K313" s="15" t="s">
        <v>223</v>
      </c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7"/>
      <c r="X313" s="17"/>
      <c r="Y313" s="17"/>
      <c r="Z313" s="17"/>
    </row>
    <row r="314" ht="15.75" customHeight="1">
      <c r="A314" s="24" t="s">
        <v>214</v>
      </c>
      <c r="B314" s="24" t="s">
        <v>1552</v>
      </c>
      <c r="C314" s="15" t="s">
        <v>1553</v>
      </c>
      <c r="D314" s="24" t="s">
        <v>1492</v>
      </c>
      <c r="E314" s="24" t="s">
        <v>1552</v>
      </c>
      <c r="F314" s="24" t="s">
        <v>38</v>
      </c>
      <c r="G314" s="15" t="s">
        <v>1357</v>
      </c>
      <c r="H314" s="15" t="s">
        <v>52</v>
      </c>
      <c r="I314" s="15" t="s">
        <v>221</v>
      </c>
      <c r="J314" s="15" t="s">
        <v>1351</v>
      </c>
      <c r="K314" s="15" t="s">
        <v>223</v>
      </c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7"/>
      <c r="X314" s="17"/>
      <c r="Y314" s="17"/>
      <c r="Z314" s="17"/>
    </row>
    <row r="315" ht="15.75" customHeight="1">
      <c r="A315" s="24" t="s">
        <v>214</v>
      </c>
      <c r="B315" s="24" t="s">
        <v>1554</v>
      </c>
      <c r="C315" s="15" t="s">
        <v>1556</v>
      </c>
      <c r="D315" s="24" t="s">
        <v>1471</v>
      </c>
      <c r="E315" s="24" t="s">
        <v>1554</v>
      </c>
      <c r="F315" s="24" t="s">
        <v>38</v>
      </c>
      <c r="G315" s="15" t="s">
        <v>1357</v>
      </c>
      <c r="H315" s="15" t="s">
        <v>52</v>
      </c>
      <c r="I315" s="15" t="s">
        <v>221</v>
      </c>
      <c r="J315" s="15" t="s">
        <v>1351</v>
      </c>
      <c r="K315" s="15" t="s">
        <v>223</v>
      </c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7"/>
      <c r="X315" s="17"/>
      <c r="Y315" s="17"/>
      <c r="Z315" s="17"/>
    </row>
    <row r="316" ht="15.75" customHeight="1">
      <c r="A316" s="24" t="s">
        <v>214</v>
      </c>
      <c r="B316" s="24" t="s">
        <v>1557</v>
      </c>
      <c r="C316" s="15" t="s">
        <v>1542</v>
      </c>
      <c r="D316" s="24" t="s">
        <v>1557</v>
      </c>
      <c r="E316" s="24" t="s">
        <v>1557</v>
      </c>
      <c r="F316" s="24" t="s">
        <v>38</v>
      </c>
      <c r="G316" s="15" t="s">
        <v>1357</v>
      </c>
      <c r="H316" s="15" t="s">
        <v>52</v>
      </c>
      <c r="I316" s="15" t="s">
        <v>221</v>
      </c>
      <c r="J316" s="15" t="s">
        <v>1351</v>
      </c>
      <c r="K316" s="15" t="s">
        <v>223</v>
      </c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7"/>
      <c r="X316" s="17"/>
      <c r="Y316" s="17"/>
      <c r="Z316" s="17"/>
    </row>
    <row r="317" ht="15.75" customHeight="1">
      <c r="A317" s="24" t="s">
        <v>214</v>
      </c>
      <c r="B317" s="24" t="s">
        <v>1558</v>
      </c>
      <c r="C317" s="15" t="s">
        <v>1529</v>
      </c>
      <c r="D317" s="24" t="s">
        <v>1558</v>
      </c>
      <c r="E317" s="24" t="s">
        <v>1558</v>
      </c>
      <c r="F317" s="24" t="s">
        <v>38</v>
      </c>
      <c r="G317" s="15" t="s">
        <v>52</v>
      </c>
      <c r="H317" s="15" t="s">
        <v>52</v>
      </c>
      <c r="I317" s="15" t="s">
        <v>221</v>
      </c>
      <c r="J317" s="15" t="s">
        <v>1351</v>
      </c>
      <c r="K317" s="15" t="s">
        <v>223</v>
      </c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7"/>
      <c r="X317" s="17"/>
      <c r="Y317" s="17"/>
      <c r="Z317" s="17"/>
    </row>
    <row r="318" ht="15.75" customHeight="1">
      <c r="A318" s="24" t="s">
        <v>214</v>
      </c>
      <c r="B318" s="24" t="s">
        <v>1560</v>
      </c>
      <c r="C318" s="15"/>
      <c r="D318" s="24" t="s">
        <v>1560</v>
      </c>
      <c r="E318" s="26" t="s">
        <v>1560</v>
      </c>
      <c r="F318" s="26" t="s">
        <v>151</v>
      </c>
      <c r="G318" s="21" t="s">
        <v>152</v>
      </c>
      <c r="H318" s="15" t="s">
        <v>52</v>
      </c>
      <c r="I318" s="15" t="s">
        <v>221</v>
      </c>
      <c r="J318" s="15" t="s">
        <v>1351</v>
      </c>
      <c r="K318" s="15" t="s">
        <v>223</v>
      </c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7"/>
      <c r="X318" s="17"/>
      <c r="Y318" s="17"/>
      <c r="Z318" s="17"/>
    </row>
    <row r="319" ht="15.75" customHeight="1">
      <c r="A319" s="24" t="s">
        <v>214</v>
      </c>
      <c r="B319" s="24" t="s">
        <v>1561</v>
      </c>
      <c r="C319" s="15" t="s">
        <v>1542</v>
      </c>
      <c r="D319" s="24" t="s">
        <v>1561</v>
      </c>
      <c r="E319" s="24" t="s">
        <v>1561</v>
      </c>
      <c r="F319" s="24" t="s">
        <v>38</v>
      </c>
      <c r="G319" s="15" t="s">
        <v>1357</v>
      </c>
      <c r="H319" s="15" t="s">
        <v>52</v>
      </c>
      <c r="I319" s="15" t="s">
        <v>221</v>
      </c>
      <c r="J319" s="15" t="s">
        <v>1351</v>
      </c>
      <c r="K319" s="15" t="s">
        <v>223</v>
      </c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7"/>
      <c r="X319" s="17"/>
      <c r="Y319" s="17"/>
      <c r="Z319" s="17"/>
    </row>
    <row r="320" ht="15.75" customHeight="1">
      <c r="A320" s="24" t="s">
        <v>214</v>
      </c>
      <c r="B320" s="24" t="s">
        <v>1562</v>
      </c>
      <c r="C320" s="15"/>
      <c r="D320" s="24" t="s">
        <v>1562</v>
      </c>
      <c r="E320" s="26" t="s">
        <v>1562</v>
      </c>
      <c r="F320" s="26" t="s">
        <v>151</v>
      </c>
      <c r="G320" s="21" t="s">
        <v>152</v>
      </c>
      <c r="H320" s="15" t="s">
        <v>52</v>
      </c>
      <c r="I320" s="15" t="s">
        <v>221</v>
      </c>
      <c r="J320" s="15" t="s">
        <v>1351</v>
      </c>
      <c r="K320" s="15" t="s">
        <v>223</v>
      </c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7"/>
      <c r="X320" s="17"/>
      <c r="Y320" s="17"/>
      <c r="Z320" s="17"/>
    </row>
    <row r="321" ht="15.75" customHeight="1">
      <c r="A321" s="24" t="s">
        <v>214</v>
      </c>
      <c r="B321" s="24" t="s">
        <v>1563</v>
      </c>
      <c r="C321" s="15" t="s">
        <v>1542</v>
      </c>
      <c r="D321" s="24" t="s">
        <v>1563</v>
      </c>
      <c r="E321" s="24" t="s">
        <v>1563</v>
      </c>
      <c r="F321" s="24" t="s">
        <v>38</v>
      </c>
      <c r="G321" s="15" t="s">
        <v>1357</v>
      </c>
      <c r="H321" s="15" t="s">
        <v>52</v>
      </c>
      <c r="I321" s="15" t="s">
        <v>221</v>
      </c>
      <c r="J321" s="15" t="s">
        <v>1351</v>
      </c>
      <c r="K321" s="15" t="s">
        <v>223</v>
      </c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7"/>
      <c r="X321" s="17"/>
      <c r="Y321" s="17"/>
      <c r="Z321" s="17"/>
    </row>
    <row r="322" ht="15.75" customHeight="1">
      <c r="A322" s="24" t="s">
        <v>214</v>
      </c>
      <c r="B322" s="24" t="s">
        <v>1564</v>
      </c>
      <c r="C322" s="15" t="s">
        <v>1556</v>
      </c>
      <c r="D322" s="24" t="s">
        <v>1564</v>
      </c>
      <c r="E322" s="24" t="s">
        <v>1564</v>
      </c>
      <c r="F322" s="24" t="s">
        <v>38</v>
      </c>
      <c r="G322" s="15" t="s">
        <v>1357</v>
      </c>
      <c r="H322" s="15" t="s">
        <v>52</v>
      </c>
      <c r="I322" s="15" t="s">
        <v>221</v>
      </c>
      <c r="J322" s="15" t="s">
        <v>1351</v>
      </c>
      <c r="K322" s="15" t="s">
        <v>223</v>
      </c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7"/>
      <c r="X322" s="17"/>
      <c r="Y322" s="17"/>
      <c r="Z322" s="17"/>
    </row>
    <row r="323" ht="15.75" customHeight="1">
      <c r="A323" s="24" t="s">
        <v>214</v>
      </c>
      <c r="B323" s="24" t="s">
        <v>1565</v>
      </c>
      <c r="C323" s="15" t="s">
        <v>1529</v>
      </c>
      <c r="D323" s="24" t="s">
        <v>1565</v>
      </c>
      <c r="E323" s="24" t="s">
        <v>1565</v>
      </c>
      <c r="F323" s="24" t="s">
        <v>38</v>
      </c>
      <c r="G323" s="15" t="s">
        <v>52</v>
      </c>
      <c r="H323" s="15" t="s">
        <v>52</v>
      </c>
      <c r="I323" s="15" t="s">
        <v>221</v>
      </c>
      <c r="J323" s="15" t="s">
        <v>1351</v>
      </c>
      <c r="K323" s="15" t="s">
        <v>223</v>
      </c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7"/>
      <c r="X323" s="17"/>
      <c r="Y323" s="17"/>
      <c r="Z323" s="17"/>
    </row>
    <row r="324" ht="15.75" customHeight="1">
      <c r="A324" s="15" t="s">
        <v>356</v>
      </c>
      <c r="B324" s="15" t="s">
        <v>1210</v>
      </c>
      <c r="C324" s="15" t="s">
        <v>1211</v>
      </c>
      <c r="D324" s="15" t="s">
        <v>1566</v>
      </c>
      <c r="E324" s="15" t="s">
        <v>1210</v>
      </c>
      <c r="F324" s="15" t="s">
        <v>38</v>
      </c>
      <c r="G324" s="15" t="s">
        <v>217</v>
      </c>
      <c r="H324" s="15" t="s">
        <v>1223</v>
      </c>
      <c r="I324" s="15" t="s">
        <v>41</v>
      </c>
      <c r="J324" s="16" t="s">
        <v>1224</v>
      </c>
      <c r="K324" s="15" t="s">
        <v>223</v>
      </c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7"/>
      <c r="X324" s="17"/>
      <c r="Y324" s="17"/>
      <c r="Z324" s="17"/>
    </row>
    <row r="325" ht="15.75" customHeight="1">
      <c r="A325" s="15" t="s">
        <v>356</v>
      </c>
      <c r="B325" s="15" t="s">
        <v>1232</v>
      </c>
      <c r="C325" s="15" t="s">
        <v>1233</v>
      </c>
      <c r="D325" s="15" t="s">
        <v>1232</v>
      </c>
      <c r="E325" s="15" t="s">
        <v>1234</v>
      </c>
      <c r="F325" s="15" t="s">
        <v>38</v>
      </c>
      <c r="G325" s="15" t="s">
        <v>217</v>
      </c>
      <c r="H325" s="15" t="s">
        <v>1223</v>
      </c>
      <c r="I325" s="15" t="s">
        <v>41</v>
      </c>
      <c r="J325" s="16" t="s">
        <v>1224</v>
      </c>
      <c r="K325" s="15" t="s">
        <v>223</v>
      </c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7"/>
      <c r="X325" s="17"/>
      <c r="Y325" s="17"/>
      <c r="Z325" s="17"/>
    </row>
    <row r="326" ht="15.75" customHeight="1">
      <c r="A326" s="15" t="s">
        <v>356</v>
      </c>
      <c r="B326" s="15" t="s">
        <v>89</v>
      </c>
      <c r="C326" s="15" t="s">
        <v>91</v>
      </c>
      <c r="D326" s="15" t="s">
        <v>1274</v>
      </c>
      <c r="E326" s="15" t="s">
        <v>1278</v>
      </c>
      <c r="F326" s="15" t="s">
        <v>94</v>
      </c>
      <c r="G326" s="15" t="s">
        <v>91</v>
      </c>
      <c r="H326" s="15" t="s">
        <v>1568</v>
      </c>
      <c r="I326" s="15" t="s">
        <v>41</v>
      </c>
      <c r="J326" s="16" t="s">
        <v>1224</v>
      </c>
      <c r="K326" s="15" t="s">
        <v>98</v>
      </c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7"/>
      <c r="X326" s="17"/>
      <c r="Y326" s="17"/>
      <c r="Z326" s="17"/>
    </row>
    <row r="327" ht="15.75" customHeight="1">
      <c r="A327" s="15" t="s">
        <v>356</v>
      </c>
      <c r="B327" s="15" t="s">
        <v>89</v>
      </c>
      <c r="C327" s="15" t="s">
        <v>91</v>
      </c>
      <c r="D327" s="15" t="s">
        <v>1569</v>
      </c>
      <c r="E327" s="15" t="s">
        <v>1570</v>
      </c>
      <c r="F327" s="15" t="s">
        <v>94</v>
      </c>
      <c r="G327" s="15" t="s">
        <v>91</v>
      </c>
      <c r="H327" s="15" t="s">
        <v>1571</v>
      </c>
      <c r="I327" s="15" t="s">
        <v>41</v>
      </c>
      <c r="J327" s="16" t="s">
        <v>1572</v>
      </c>
      <c r="K327" s="15" t="s">
        <v>98</v>
      </c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7"/>
      <c r="X327" s="17"/>
      <c r="Y327" s="17"/>
      <c r="Z327" s="17"/>
    </row>
    <row r="328" ht="15.75" customHeight="1">
      <c r="A328" s="15" t="s">
        <v>356</v>
      </c>
      <c r="B328" s="15" t="s">
        <v>1253</v>
      </c>
      <c r="C328" s="15" t="s">
        <v>1254</v>
      </c>
      <c r="D328" s="15" t="s">
        <v>1253</v>
      </c>
      <c r="E328" s="15" t="s">
        <v>1253</v>
      </c>
      <c r="F328" s="15" t="s">
        <v>38</v>
      </c>
      <c r="G328" s="15" t="s">
        <v>52</v>
      </c>
      <c r="H328" s="15" t="s">
        <v>1256</v>
      </c>
      <c r="I328" s="15" t="s">
        <v>41</v>
      </c>
      <c r="J328" s="16" t="s">
        <v>1257</v>
      </c>
      <c r="K328" s="15" t="s">
        <v>85</v>
      </c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7"/>
      <c r="X328" s="17"/>
      <c r="Y328" s="17"/>
      <c r="Z328" s="17"/>
    </row>
    <row r="329" ht="15.75" customHeight="1">
      <c r="A329" s="15" t="s">
        <v>356</v>
      </c>
      <c r="B329" s="15" t="s">
        <v>1259</v>
      </c>
      <c r="C329" s="15" t="s">
        <v>1260</v>
      </c>
      <c r="D329" s="15" t="s">
        <v>1259</v>
      </c>
      <c r="E329" s="15" t="s">
        <v>1259</v>
      </c>
      <c r="F329" s="15" t="s">
        <v>38</v>
      </c>
      <c r="G329" s="15" t="s">
        <v>52</v>
      </c>
      <c r="H329" s="15" t="s">
        <v>1256</v>
      </c>
      <c r="I329" s="15" t="s">
        <v>41</v>
      </c>
      <c r="J329" s="16" t="s">
        <v>1257</v>
      </c>
      <c r="K329" s="15" t="s">
        <v>85</v>
      </c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7"/>
      <c r="X329" s="17"/>
      <c r="Y329" s="17"/>
      <c r="Z329" s="17"/>
    </row>
    <row r="330" ht="15.75" customHeight="1">
      <c r="A330" s="15" t="s">
        <v>356</v>
      </c>
      <c r="B330" s="15" t="s">
        <v>1264</v>
      </c>
      <c r="C330" s="15" t="s">
        <v>1260</v>
      </c>
      <c r="D330" s="15" t="s">
        <v>1264</v>
      </c>
      <c r="E330" s="15" t="s">
        <v>1264</v>
      </c>
      <c r="F330" s="15" t="s">
        <v>38</v>
      </c>
      <c r="G330" s="15" t="s">
        <v>52</v>
      </c>
      <c r="H330" s="15" t="s">
        <v>1256</v>
      </c>
      <c r="I330" s="15" t="s">
        <v>41</v>
      </c>
      <c r="J330" s="16" t="s">
        <v>1257</v>
      </c>
      <c r="K330" s="15" t="s">
        <v>85</v>
      </c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7"/>
      <c r="X330" s="17"/>
      <c r="Y330" s="17"/>
      <c r="Z330" s="17"/>
    </row>
    <row r="331" ht="15.75" customHeight="1">
      <c r="A331" s="15" t="s">
        <v>356</v>
      </c>
      <c r="B331" s="15" t="s">
        <v>1267</v>
      </c>
      <c r="C331" s="15" t="s">
        <v>1268</v>
      </c>
      <c r="D331" s="15" t="s">
        <v>1267</v>
      </c>
      <c r="E331" s="15" t="s">
        <v>1267</v>
      </c>
      <c r="F331" s="15" t="s">
        <v>38</v>
      </c>
      <c r="G331" s="15" t="s">
        <v>52</v>
      </c>
      <c r="H331" s="15" t="s">
        <v>1256</v>
      </c>
      <c r="I331" s="15" t="s">
        <v>41</v>
      </c>
      <c r="J331" s="16" t="s">
        <v>1257</v>
      </c>
      <c r="K331" s="15" t="s">
        <v>85</v>
      </c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7"/>
      <c r="X331" s="17"/>
      <c r="Y331" s="17"/>
      <c r="Z331" s="17"/>
    </row>
    <row r="332" ht="15.75" customHeight="1">
      <c r="A332" s="15" t="s">
        <v>356</v>
      </c>
      <c r="B332" s="15" t="s">
        <v>1274</v>
      </c>
      <c r="C332" s="15" t="s">
        <v>1275</v>
      </c>
      <c r="D332" s="15" t="s">
        <v>1274</v>
      </c>
      <c r="E332" s="15" t="s">
        <v>1278</v>
      </c>
      <c r="F332" s="15" t="s">
        <v>38</v>
      </c>
      <c r="G332" s="15" t="s">
        <v>1280</v>
      </c>
      <c r="H332" s="15" t="s">
        <v>1281</v>
      </c>
      <c r="I332" s="15" t="s">
        <v>41</v>
      </c>
      <c r="J332" s="16" t="s">
        <v>1283</v>
      </c>
      <c r="K332" s="15" t="s">
        <v>223</v>
      </c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7"/>
      <c r="X332" s="17"/>
      <c r="Y332" s="17"/>
      <c r="Z332" s="17"/>
    </row>
    <row r="333" ht="15.75" customHeight="1">
      <c r="A333" s="15" t="s">
        <v>356</v>
      </c>
      <c r="B333" s="15" t="s">
        <v>89</v>
      </c>
      <c r="C333" s="15" t="s">
        <v>91</v>
      </c>
      <c r="D333" s="15" t="s">
        <v>1573</v>
      </c>
      <c r="E333" s="15" t="s">
        <v>329</v>
      </c>
      <c r="F333" s="15" t="s">
        <v>94</v>
      </c>
      <c r="G333" s="15" t="s">
        <v>91</v>
      </c>
      <c r="H333" s="15" t="s">
        <v>330</v>
      </c>
      <c r="I333" s="15" t="s">
        <v>41</v>
      </c>
      <c r="J333" s="16" t="s">
        <v>326</v>
      </c>
      <c r="K333" s="15" t="s">
        <v>98</v>
      </c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7"/>
      <c r="X333" s="17"/>
      <c r="Y333" s="17"/>
      <c r="Z333" s="17"/>
    </row>
    <row r="334" ht="15.75" customHeight="1">
      <c r="A334" s="15" t="s">
        <v>356</v>
      </c>
      <c r="B334" s="15" t="s">
        <v>1287</v>
      </c>
      <c r="C334" s="15" t="s">
        <v>1288</v>
      </c>
      <c r="D334" s="15" t="s">
        <v>1287</v>
      </c>
      <c r="E334" s="15" t="s">
        <v>482</v>
      </c>
      <c r="F334" s="15" t="s">
        <v>38</v>
      </c>
      <c r="G334" s="15" t="s">
        <v>1291</v>
      </c>
      <c r="H334" s="15" t="s">
        <v>488</v>
      </c>
      <c r="I334" s="15" t="s">
        <v>41</v>
      </c>
      <c r="J334" s="16" t="s">
        <v>480</v>
      </c>
      <c r="K334" s="15" t="s">
        <v>85</v>
      </c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7"/>
      <c r="X334" s="17"/>
      <c r="Y334" s="17"/>
      <c r="Z334" s="17"/>
    </row>
    <row r="335" ht="15.75" customHeight="1">
      <c r="A335" s="15" t="s">
        <v>356</v>
      </c>
      <c r="B335" s="15" t="s">
        <v>89</v>
      </c>
      <c r="C335" s="15" t="s">
        <v>91</v>
      </c>
      <c r="D335" s="15" t="s">
        <v>1574</v>
      </c>
      <c r="E335" s="15" t="s">
        <v>1480</v>
      </c>
      <c r="F335" s="15" t="s">
        <v>94</v>
      </c>
      <c r="G335" s="15" t="s">
        <v>91</v>
      </c>
      <c r="H335" s="15" t="s">
        <v>1484</v>
      </c>
      <c r="I335" s="15" t="s">
        <v>41</v>
      </c>
      <c r="J335" s="16" t="s">
        <v>1477</v>
      </c>
      <c r="K335" s="15" t="s">
        <v>98</v>
      </c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7"/>
      <c r="X335" s="17"/>
      <c r="Y335" s="17"/>
      <c r="Z335" s="17"/>
    </row>
    <row r="336" ht="15.75" customHeight="1">
      <c r="A336" s="15" t="s">
        <v>356</v>
      </c>
      <c r="B336" s="15" t="s">
        <v>1296</v>
      </c>
      <c r="C336" s="15" t="s">
        <v>1297</v>
      </c>
      <c r="D336" s="15" t="s">
        <v>1296</v>
      </c>
      <c r="E336" s="15" t="s">
        <v>1300</v>
      </c>
      <c r="F336" s="15" t="s">
        <v>38</v>
      </c>
      <c r="G336" s="15" t="s">
        <v>1302</v>
      </c>
      <c r="H336" s="15" t="s">
        <v>1303</v>
      </c>
      <c r="I336" s="15" t="s">
        <v>41</v>
      </c>
      <c r="J336" s="16" t="s">
        <v>1305</v>
      </c>
      <c r="K336" s="15" t="s">
        <v>85</v>
      </c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7"/>
      <c r="X336" s="17"/>
      <c r="Y336" s="17"/>
      <c r="Z336" s="17"/>
    </row>
    <row r="337" ht="15.75" customHeight="1">
      <c r="A337" s="15" t="s">
        <v>356</v>
      </c>
      <c r="B337" s="15" t="s">
        <v>89</v>
      </c>
      <c r="C337" s="15" t="s">
        <v>91</v>
      </c>
      <c r="D337" s="15" t="s">
        <v>1465</v>
      </c>
      <c r="E337" s="15" t="s">
        <v>1470</v>
      </c>
      <c r="F337" s="15" t="s">
        <v>94</v>
      </c>
      <c r="G337" s="15" t="s">
        <v>91</v>
      </c>
      <c r="H337" s="15" t="s">
        <v>1472</v>
      </c>
      <c r="I337" s="15" t="s">
        <v>41</v>
      </c>
      <c r="J337" s="16" t="s">
        <v>1464</v>
      </c>
      <c r="K337" s="15" t="s">
        <v>98</v>
      </c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7"/>
      <c r="X337" s="17"/>
      <c r="Y337" s="17"/>
      <c r="Z337" s="17"/>
    </row>
    <row r="338" ht="15.75" customHeight="1">
      <c r="A338" s="15" t="s">
        <v>356</v>
      </c>
      <c r="B338" s="15" t="s">
        <v>89</v>
      </c>
      <c r="C338" s="15" t="s">
        <v>91</v>
      </c>
      <c r="D338" s="15" t="s">
        <v>1007</v>
      </c>
      <c r="E338" s="15" t="s">
        <v>1576</v>
      </c>
      <c r="F338" s="15" t="s">
        <v>94</v>
      </c>
      <c r="G338" s="15" t="s">
        <v>91</v>
      </c>
      <c r="H338" s="15" t="s">
        <v>1577</v>
      </c>
      <c r="I338" s="15" t="s">
        <v>41</v>
      </c>
      <c r="J338" s="16" t="s">
        <v>1578</v>
      </c>
      <c r="K338" s="15" t="s">
        <v>98</v>
      </c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7"/>
      <c r="X338" s="17"/>
      <c r="Y338" s="17"/>
      <c r="Z338" s="17"/>
    </row>
    <row r="339" ht="15.75" customHeight="1">
      <c r="A339" s="15" t="s">
        <v>356</v>
      </c>
      <c r="B339" s="15" t="s">
        <v>89</v>
      </c>
      <c r="C339" s="15" t="s">
        <v>91</v>
      </c>
      <c r="D339" s="15" t="s">
        <v>1007</v>
      </c>
      <c r="E339" s="15" t="s">
        <v>497</v>
      </c>
      <c r="F339" s="15" t="s">
        <v>94</v>
      </c>
      <c r="G339" s="15" t="s">
        <v>91</v>
      </c>
      <c r="H339" s="15" t="s">
        <v>1579</v>
      </c>
      <c r="I339" s="15" t="s">
        <v>41</v>
      </c>
      <c r="J339" s="16" t="s">
        <v>1580</v>
      </c>
      <c r="K339" s="15" t="s">
        <v>98</v>
      </c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7"/>
      <c r="X339" s="17"/>
      <c r="Y339" s="17"/>
      <c r="Z339" s="17"/>
    </row>
    <row r="340" ht="15.75" customHeight="1">
      <c r="A340" s="15" t="s">
        <v>356</v>
      </c>
      <c r="B340" s="15" t="s">
        <v>89</v>
      </c>
      <c r="C340" s="15" t="s">
        <v>91</v>
      </c>
      <c r="D340" s="15" t="s">
        <v>1007</v>
      </c>
      <c r="E340" s="15" t="s">
        <v>1581</v>
      </c>
      <c r="F340" s="15" t="s">
        <v>94</v>
      </c>
      <c r="G340" s="15" t="s">
        <v>91</v>
      </c>
      <c r="H340" s="15" t="s">
        <v>1582</v>
      </c>
      <c r="I340" s="15" t="s">
        <v>41</v>
      </c>
      <c r="J340" s="16" t="s">
        <v>1583</v>
      </c>
      <c r="K340" s="15" t="s">
        <v>98</v>
      </c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7"/>
      <c r="X340" s="17"/>
      <c r="Y340" s="17"/>
      <c r="Z340" s="17"/>
    </row>
    <row r="341" ht="15.75" customHeight="1">
      <c r="A341" s="15" t="s">
        <v>356</v>
      </c>
      <c r="B341" s="15" t="s">
        <v>1309</v>
      </c>
      <c r="C341" s="15" t="s">
        <v>1311</v>
      </c>
      <c r="D341" s="15" t="s">
        <v>1309</v>
      </c>
      <c r="E341" s="15" t="s">
        <v>1309</v>
      </c>
      <c r="F341" s="15" t="s">
        <v>38</v>
      </c>
      <c r="G341" s="15" t="s">
        <v>217</v>
      </c>
      <c r="H341" s="15" t="s">
        <v>1312</v>
      </c>
      <c r="I341" s="15" t="s">
        <v>41</v>
      </c>
      <c r="J341" s="16" t="s">
        <v>1314</v>
      </c>
      <c r="K341" s="15" t="s">
        <v>223</v>
      </c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7"/>
      <c r="X341" s="17"/>
      <c r="Y341" s="17"/>
      <c r="Z341" s="17"/>
    </row>
    <row r="342" ht="15.75" customHeight="1">
      <c r="A342" s="15" t="s">
        <v>356</v>
      </c>
      <c r="B342" s="15" t="s">
        <v>89</v>
      </c>
      <c r="C342" s="15" t="s">
        <v>91</v>
      </c>
      <c r="D342" s="15" t="s">
        <v>1007</v>
      </c>
      <c r="E342" s="15" t="s">
        <v>1585</v>
      </c>
      <c r="F342" s="15" t="s">
        <v>94</v>
      </c>
      <c r="G342" s="15" t="s">
        <v>91</v>
      </c>
      <c r="H342" s="15" t="s">
        <v>1586</v>
      </c>
      <c r="I342" s="15" t="s">
        <v>41</v>
      </c>
      <c r="J342" s="16" t="s">
        <v>1314</v>
      </c>
      <c r="K342" s="15" t="s">
        <v>98</v>
      </c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7"/>
      <c r="X342" s="17"/>
      <c r="Y342" s="17"/>
      <c r="Z342" s="17"/>
    </row>
    <row r="343" ht="15.75" customHeight="1">
      <c r="A343" s="15" t="s">
        <v>356</v>
      </c>
      <c r="B343" s="15" t="s">
        <v>89</v>
      </c>
      <c r="C343" s="15" t="s">
        <v>91</v>
      </c>
      <c r="D343" s="15" t="s">
        <v>1007</v>
      </c>
      <c r="E343" s="15" t="s">
        <v>1587</v>
      </c>
      <c r="F343" s="15" t="s">
        <v>94</v>
      </c>
      <c r="G343" s="15" t="s">
        <v>91</v>
      </c>
      <c r="H343" s="15" t="s">
        <v>1588</v>
      </c>
      <c r="I343" s="15" t="s">
        <v>41</v>
      </c>
      <c r="J343" s="16" t="s">
        <v>1589</v>
      </c>
      <c r="K343" s="15" t="s">
        <v>98</v>
      </c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7"/>
      <c r="X343" s="17"/>
      <c r="Y343" s="17"/>
      <c r="Z343" s="17"/>
    </row>
    <row r="344" ht="15.75" customHeight="1">
      <c r="A344" s="15" t="s">
        <v>356</v>
      </c>
      <c r="B344" s="15" t="s">
        <v>89</v>
      </c>
      <c r="C344" s="15" t="s">
        <v>91</v>
      </c>
      <c r="D344" s="15" t="s">
        <v>1590</v>
      </c>
      <c r="E344" s="15" t="s">
        <v>335</v>
      </c>
      <c r="F344" s="15" t="s">
        <v>94</v>
      </c>
      <c r="G344" s="15" t="s">
        <v>91</v>
      </c>
      <c r="H344" s="15" t="s">
        <v>339</v>
      </c>
      <c r="I344" s="15" t="s">
        <v>41</v>
      </c>
      <c r="J344" s="16" t="s">
        <v>334</v>
      </c>
      <c r="K344" s="15" t="s">
        <v>98</v>
      </c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7"/>
      <c r="X344" s="17"/>
      <c r="Y344" s="17"/>
      <c r="Z344" s="17"/>
    </row>
    <row r="345" ht="15.75" customHeight="1">
      <c r="A345" s="15" t="s">
        <v>356</v>
      </c>
      <c r="B345" s="15" t="s">
        <v>1315</v>
      </c>
      <c r="C345" s="15" t="s">
        <v>1316</v>
      </c>
      <c r="D345" s="15" t="s">
        <v>1315</v>
      </c>
      <c r="E345" s="15" t="s">
        <v>1317</v>
      </c>
      <c r="F345" s="15" t="s">
        <v>38</v>
      </c>
      <c r="G345" s="15" t="s">
        <v>1318</v>
      </c>
      <c r="H345" s="15" t="s">
        <v>1320</v>
      </c>
      <c r="I345" s="15" t="s">
        <v>41</v>
      </c>
      <c r="J345" s="16" t="s">
        <v>1321</v>
      </c>
      <c r="K345" s="15" t="s">
        <v>85</v>
      </c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7"/>
      <c r="X345" s="17"/>
      <c r="Y345" s="17"/>
      <c r="Z345" s="17"/>
    </row>
    <row r="346" ht="15.75" customHeight="1">
      <c r="A346" s="15" t="s">
        <v>356</v>
      </c>
      <c r="B346" s="15" t="s">
        <v>89</v>
      </c>
      <c r="C346" s="15" t="s">
        <v>91</v>
      </c>
      <c r="D346" s="15" t="s">
        <v>1007</v>
      </c>
      <c r="E346" s="15" t="s">
        <v>1593</v>
      </c>
      <c r="F346" s="15" t="s">
        <v>94</v>
      </c>
      <c r="G346" s="15" t="s">
        <v>91</v>
      </c>
      <c r="H346" s="15" t="s">
        <v>1594</v>
      </c>
      <c r="I346" s="15" t="s">
        <v>41</v>
      </c>
      <c r="J346" s="16" t="s">
        <v>1595</v>
      </c>
      <c r="K346" s="15" t="s">
        <v>98</v>
      </c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7"/>
      <c r="X346" s="17"/>
      <c r="Y346" s="17"/>
      <c r="Z346" s="17"/>
    </row>
    <row r="347" ht="15.75" customHeight="1">
      <c r="A347" s="15" t="s">
        <v>356</v>
      </c>
      <c r="B347" s="15" t="s">
        <v>1324</v>
      </c>
      <c r="C347" s="15" t="s">
        <v>1325</v>
      </c>
      <c r="D347" s="15" t="s">
        <v>1324</v>
      </c>
      <c r="E347" s="15" t="s">
        <v>1326</v>
      </c>
      <c r="F347" s="15" t="s">
        <v>38</v>
      </c>
      <c r="G347" s="15" t="s">
        <v>1327</v>
      </c>
      <c r="H347" s="15" t="s">
        <v>1328</v>
      </c>
      <c r="I347" s="15" t="s">
        <v>41</v>
      </c>
      <c r="J347" s="16" t="s">
        <v>1330</v>
      </c>
      <c r="K347" s="15" t="s">
        <v>223</v>
      </c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7"/>
      <c r="X347" s="17"/>
      <c r="Y347" s="17"/>
      <c r="Z347" s="17"/>
    </row>
    <row r="348" ht="15.75" customHeight="1">
      <c r="A348" s="15" t="s">
        <v>356</v>
      </c>
      <c r="B348" s="15" t="s">
        <v>1338</v>
      </c>
      <c r="C348" s="15" t="s">
        <v>1339</v>
      </c>
      <c r="D348" s="15" t="s">
        <v>1338</v>
      </c>
      <c r="E348" s="15" t="s">
        <v>1343</v>
      </c>
      <c r="F348" s="15" t="s">
        <v>38</v>
      </c>
      <c r="G348" s="15" t="s">
        <v>1345</v>
      </c>
      <c r="H348" s="15" t="s">
        <v>1346</v>
      </c>
      <c r="I348" s="15" t="s">
        <v>41</v>
      </c>
      <c r="J348" s="16" t="s">
        <v>1348</v>
      </c>
      <c r="K348" s="15" t="s">
        <v>85</v>
      </c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7"/>
      <c r="X348" s="17"/>
      <c r="Y348" s="17"/>
      <c r="Z348" s="17"/>
    </row>
    <row r="349" ht="15.75" customHeight="1">
      <c r="A349" s="15" t="s">
        <v>356</v>
      </c>
      <c r="B349" s="15" t="s">
        <v>1352</v>
      </c>
      <c r="C349" s="15" t="s">
        <v>1353</v>
      </c>
      <c r="D349" s="15" t="s">
        <v>1352</v>
      </c>
      <c r="E349" s="15" t="s">
        <v>1358</v>
      </c>
      <c r="F349" s="15" t="s">
        <v>38</v>
      </c>
      <c r="G349" s="15" t="s">
        <v>1345</v>
      </c>
      <c r="H349" s="15" t="s">
        <v>1346</v>
      </c>
      <c r="I349" s="15" t="s">
        <v>41</v>
      </c>
      <c r="J349" s="16" t="s">
        <v>1348</v>
      </c>
      <c r="K349" s="15" t="s">
        <v>85</v>
      </c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7"/>
      <c r="X349" s="17"/>
      <c r="Y349" s="17"/>
      <c r="Z349" s="17"/>
    </row>
    <row r="350" ht="15.75" customHeight="1">
      <c r="A350" s="15" t="s">
        <v>356</v>
      </c>
      <c r="B350" s="15" t="s">
        <v>1362</v>
      </c>
      <c r="C350" s="15" t="s">
        <v>1363</v>
      </c>
      <c r="D350" s="15" t="s">
        <v>1362</v>
      </c>
      <c r="E350" s="15" t="s">
        <v>1364</v>
      </c>
      <c r="F350" s="15" t="s">
        <v>38</v>
      </c>
      <c r="G350" s="15" t="s">
        <v>1366</v>
      </c>
      <c r="H350" s="15" t="s">
        <v>1367</v>
      </c>
      <c r="I350" s="15" t="s">
        <v>41</v>
      </c>
      <c r="J350" s="16" t="s">
        <v>1369</v>
      </c>
      <c r="K350" s="15" t="s">
        <v>85</v>
      </c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7"/>
      <c r="X350" s="17"/>
      <c r="Y350" s="17"/>
      <c r="Z350" s="17"/>
    </row>
    <row r="351" ht="15.75" customHeight="1">
      <c r="A351" s="15" t="s">
        <v>356</v>
      </c>
      <c r="B351" s="15" t="s">
        <v>1372</v>
      </c>
      <c r="C351" s="15" t="s">
        <v>1373</v>
      </c>
      <c r="D351" s="15" t="s">
        <v>1372</v>
      </c>
      <c r="E351" s="15" t="s">
        <v>1375</v>
      </c>
      <c r="F351" s="15" t="s">
        <v>38</v>
      </c>
      <c r="G351" s="15" t="s">
        <v>1366</v>
      </c>
      <c r="H351" s="15" t="s">
        <v>1367</v>
      </c>
      <c r="I351" s="15" t="s">
        <v>41</v>
      </c>
      <c r="J351" s="16" t="s">
        <v>1369</v>
      </c>
      <c r="K351" s="15" t="s">
        <v>85</v>
      </c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7"/>
      <c r="X351" s="17"/>
      <c r="Y351" s="17"/>
      <c r="Z351" s="17"/>
    </row>
    <row r="352" ht="15.75" customHeight="1">
      <c r="A352" s="15" t="s">
        <v>356</v>
      </c>
      <c r="B352" s="15" t="s">
        <v>89</v>
      </c>
      <c r="C352" s="15" t="s">
        <v>91</v>
      </c>
      <c r="D352" s="15" t="s">
        <v>1598</v>
      </c>
      <c r="E352" s="15" t="s">
        <v>470</v>
      </c>
      <c r="F352" s="15" t="s">
        <v>94</v>
      </c>
      <c r="G352" s="15" t="s">
        <v>91</v>
      </c>
      <c r="H352" s="15" t="s">
        <v>474</v>
      </c>
      <c r="I352" s="15" t="s">
        <v>41</v>
      </c>
      <c r="J352" s="16" t="s">
        <v>468</v>
      </c>
      <c r="K352" s="15" t="s">
        <v>98</v>
      </c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7"/>
      <c r="X352" s="17"/>
      <c r="Y352" s="17"/>
      <c r="Z352" s="17"/>
    </row>
    <row r="353" ht="15.75" customHeight="1">
      <c r="A353" s="15" t="s">
        <v>356</v>
      </c>
      <c r="B353" s="15" t="s">
        <v>1381</v>
      </c>
      <c r="C353" s="15" t="s">
        <v>1382</v>
      </c>
      <c r="D353" s="15" t="s">
        <v>1381</v>
      </c>
      <c r="E353" s="15" t="s">
        <v>1381</v>
      </c>
      <c r="F353" s="15" t="s">
        <v>38</v>
      </c>
      <c r="G353" s="15" t="s">
        <v>52</v>
      </c>
      <c r="H353" s="15" t="s">
        <v>698</v>
      </c>
      <c r="I353" s="15" t="s">
        <v>41</v>
      </c>
      <c r="J353" s="16" t="s">
        <v>690</v>
      </c>
      <c r="K353" s="15" t="s">
        <v>85</v>
      </c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7"/>
      <c r="X353" s="17"/>
      <c r="Y353" s="17"/>
      <c r="Z353" s="17"/>
    </row>
    <row r="354" ht="15.75" customHeight="1">
      <c r="A354" s="15" t="s">
        <v>356</v>
      </c>
      <c r="B354" s="15" t="s">
        <v>89</v>
      </c>
      <c r="C354" s="15" t="s">
        <v>91</v>
      </c>
      <c r="D354" s="15" t="s">
        <v>1007</v>
      </c>
      <c r="E354" s="15" t="s">
        <v>1599</v>
      </c>
      <c r="F354" s="15" t="s">
        <v>94</v>
      </c>
      <c r="G354" s="15" t="s">
        <v>91</v>
      </c>
      <c r="H354" s="15" t="s">
        <v>1600</v>
      </c>
      <c r="I354" s="15" t="s">
        <v>41</v>
      </c>
      <c r="J354" s="16" t="s">
        <v>1601</v>
      </c>
      <c r="K354" s="15" t="s">
        <v>98</v>
      </c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7"/>
      <c r="X354" s="17"/>
      <c r="Y354" s="17"/>
      <c r="Z354" s="17"/>
    </row>
    <row r="355" ht="15.75" customHeight="1">
      <c r="A355" s="15" t="s">
        <v>356</v>
      </c>
      <c r="B355" s="15" t="s">
        <v>89</v>
      </c>
      <c r="C355" s="15" t="s">
        <v>91</v>
      </c>
      <c r="D355" s="15" t="s">
        <v>1602</v>
      </c>
      <c r="E355" s="15" t="s">
        <v>1603</v>
      </c>
      <c r="F355" s="15" t="s">
        <v>94</v>
      </c>
      <c r="G355" s="15" t="s">
        <v>91</v>
      </c>
      <c r="H355" s="15" t="s">
        <v>1604</v>
      </c>
      <c r="I355" s="15" t="s">
        <v>41</v>
      </c>
      <c r="J355" s="16" t="s">
        <v>1605</v>
      </c>
      <c r="K355" s="15" t="s">
        <v>98</v>
      </c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7"/>
      <c r="X355" s="17"/>
      <c r="Y355" s="17"/>
      <c r="Z355" s="17"/>
    </row>
    <row r="356" ht="15.75" customHeight="1">
      <c r="A356" s="15" t="s">
        <v>356</v>
      </c>
      <c r="B356" s="15" t="s">
        <v>89</v>
      </c>
      <c r="C356" s="15" t="s">
        <v>91</v>
      </c>
      <c r="D356" s="15" t="s">
        <v>1606</v>
      </c>
      <c r="E356" s="15" t="s">
        <v>637</v>
      </c>
      <c r="F356" s="15" t="s">
        <v>94</v>
      </c>
      <c r="G356" s="15" t="s">
        <v>91</v>
      </c>
      <c r="H356" s="15" t="s">
        <v>642</v>
      </c>
      <c r="I356" s="15" t="s">
        <v>41</v>
      </c>
      <c r="J356" s="16" t="s">
        <v>636</v>
      </c>
      <c r="K356" s="15" t="s">
        <v>98</v>
      </c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7"/>
      <c r="X356" s="17"/>
      <c r="Y356" s="17"/>
      <c r="Z356" s="17"/>
    </row>
    <row r="357" ht="15.75" customHeight="1">
      <c r="A357" s="15" t="s">
        <v>356</v>
      </c>
      <c r="B357" s="15" t="s">
        <v>1391</v>
      </c>
      <c r="C357" s="15" t="s">
        <v>1392</v>
      </c>
      <c r="D357" s="15" t="s">
        <v>1391</v>
      </c>
      <c r="E357" s="15" t="s">
        <v>1394</v>
      </c>
      <c r="F357" s="15" t="s">
        <v>38</v>
      </c>
      <c r="G357" s="15" t="s">
        <v>52</v>
      </c>
      <c r="H357" s="15" t="s">
        <v>1397</v>
      </c>
      <c r="I357" s="15" t="s">
        <v>41</v>
      </c>
      <c r="J357" s="16" t="s">
        <v>1398</v>
      </c>
      <c r="K357" s="15" t="s">
        <v>85</v>
      </c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7"/>
      <c r="X357" s="17"/>
      <c r="Y357" s="17"/>
      <c r="Z357" s="17"/>
    </row>
    <row r="358" ht="15.75" customHeight="1">
      <c r="A358" s="15" t="s">
        <v>356</v>
      </c>
      <c r="B358" s="15" t="s">
        <v>1402</v>
      </c>
      <c r="C358" s="15" t="s">
        <v>1403</v>
      </c>
      <c r="D358" s="15" t="s">
        <v>1402</v>
      </c>
      <c r="E358" s="15" t="s">
        <v>663</v>
      </c>
      <c r="F358" s="15" t="s">
        <v>38</v>
      </c>
      <c r="G358" s="15" t="s">
        <v>1406</v>
      </c>
      <c r="H358" s="15" t="s">
        <v>672</v>
      </c>
      <c r="I358" s="15" t="s">
        <v>41</v>
      </c>
      <c r="J358" s="16" t="s">
        <v>661</v>
      </c>
      <c r="K358" s="15" t="s">
        <v>85</v>
      </c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7"/>
      <c r="X358" s="17"/>
      <c r="Y358" s="17"/>
      <c r="Z358" s="17"/>
    </row>
    <row r="359" ht="15.75" customHeight="1">
      <c r="A359" s="15" t="s">
        <v>356</v>
      </c>
      <c r="B359" s="15" t="s">
        <v>1408</v>
      </c>
      <c r="C359" s="15" t="s">
        <v>1409</v>
      </c>
      <c r="D359" s="15" t="s">
        <v>1408</v>
      </c>
      <c r="E359" s="15" t="s">
        <v>1411</v>
      </c>
      <c r="F359" s="15" t="s">
        <v>38</v>
      </c>
      <c r="G359" s="15" t="s">
        <v>1412</v>
      </c>
      <c r="H359" s="15" t="s">
        <v>1413</v>
      </c>
      <c r="I359" s="15" t="s">
        <v>41</v>
      </c>
      <c r="J359" s="16" t="s">
        <v>1414</v>
      </c>
      <c r="K359" s="15" t="s">
        <v>223</v>
      </c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7"/>
      <c r="X359" s="17"/>
      <c r="Y359" s="17"/>
      <c r="Z359" s="17"/>
    </row>
    <row r="360" ht="15.75" customHeight="1">
      <c r="A360" s="15" t="s">
        <v>356</v>
      </c>
      <c r="B360" s="15" t="s">
        <v>89</v>
      </c>
      <c r="C360" s="15" t="s">
        <v>91</v>
      </c>
      <c r="D360" s="15" t="s">
        <v>1007</v>
      </c>
      <c r="E360" s="15" t="s">
        <v>1608</v>
      </c>
      <c r="F360" s="15" t="s">
        <v>94</v>
      </c>
      <c r="G360" s="15" t="s">
        <v>91</v>
      </c>
      <c r="H360" s="15" t="s">
        <v>1609</v>
      </c>
      <c r="I360" s="15" t="s">
        <v>41</v>
      </c>
      <c r="J360" s="16" t="s">
        <v>1610</v>
      </c>
      <c r="K360" s="15" t="s">
        <v>98</v>
      </c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7"/>
      <c r="X360" s="17"/>
      <c r="Y360" s="17"/>
      <c r="Z360" s="17"/>
    </row>
    <row r="361" ht="15.75" customHeight="1">
      <c r="A361" s="24" t="s">
        <v>214</v>
      </c>
      <c r="B361" s="24" t="s">
        <v>1611</v>
      </c>
      <c r="C361" s="15" t="s">
        <v>1612</v>
      </c>
      <c r="D361" s="24" t="s">
        <v>1611</v>
      </c>
      <c r="E361" s="24" t="s">
        <v>1611</v>
      </c>
      <c r="F361" s="24" t="s">
        <v>38</v>
      </c>
      <c r="G361" s="15" t="s">
        <v>52</v>
      </c>
      <c r="H361" s="15" t="s">
        <v>52</v>
      </c>
      <c r="I361" s="15" t="s">
        <v>221</v>
      </c>
      <c r="J361" s="15" t="s">
        <v>1351</v>
      </c>
      <c r="K361" s="15" t="s">
        <v>223</v>
      </c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7"/>
      <c r="X361" s="17"/>
      <c r="Y361" s="17"/>
      <c r="Z361" s="17"/>
    </row>
    <row r="362" ht="15.75" customHeight="1">
      <c r="A362" s="24" t="s">
        <v>214</v>
      </c>
      <c r="B362" s="24" t="s">
        <v>1613</v>
      </c>
      <c r="C362" s="15" t="s">
        <v>1614</v>
      </c>
      <c r="D362" s="24" t="s">
        <v>1493</v>
      </c>
      <c r="E362" s="24" t="s">
        <v>1613</v>
      </c>
      <c r="F362" s="24" t="s">
        <v>38</v>
      </c>
      <c r="G362" s="15" t="s">
        <v>1357</v>
      </c>
      <c r="H362" s="15" t="s">
        <v>52</v>
      </c>
      <c r="I362" s="15" t="s">
        <v>221</v>
      </c>
      <c r="J362" s="15" t="s">
        <v>1351</v>
      </c>
      <c r="K362" s="15" t="s">
        <v>223</v>
      </c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7"/>
      <c r="X362" s="17"/>
      <c r="Y362" s="17"/>
      <c r="Z362" s="17"/>
    </row>
    <row r="363" ht="15.75" customHeight="1">
      <c r="A363" s="24" t="s">
        <v>214</v>
      </c>
      <c r="B363" s="24" t="s">
        <v>1615</v>
      </c>
      <c r="C363" s="15" t="s">
        <v>1616</v>
      </c>
      <c r="D363" s="24" t="s">
        <v>1617</v>
      </c>
      <c r="E363" s="24" t="s">
        <v>1615</v>
      </c>
      <c r="F363" s="24" t="s">
        <v>38</v>
      </c>
      <c r="G363" s="15" t="s">
        <v>52</v>
      </c>
      <c r="H363" s="15" t="s">
        <v>52</v>
      </c>
      <c r="I363" s="15" t="s">
        <v>221</v>
      </c>
      <c r="J363" s="15" t="s">
        <v>1351</v>
      </c>
      <c r="K363" s="15" t="s">
        <v>223</v>
      </c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7"/>
      <c r="X363" s="17"/>
      <c r="Y363" s="17"/>
      <c r="Z363" s="17"/>
    </row>
    <row r="364" ht="15.75" customHeight="1">
      <c r="A364" s="24" t="s">
        <v>214</v>
      </c>
      <c r="B364" s="24" t="s">
        <v>1448</v>
      </c>
      <c r="C364" s="15" t="s">
        <v>1618</v>
      </c>
      <c r="D364" s="24" t="s">
        <v>1446</v>
      </c>
      <c r="E364" s="24" t="s">
        <v>1448</v>
      </c>
      <c r="F364" s="24" t="s">
        <v>38</v>
      </c>
      <c r="G364" s="15" t="s">
        <v>1357</v>
      </c>
      <c r="H364" s="15" t="s">
        <v>52</v>
      </c>
      <c r="I364" s="15" t="s">
        <v>221</v>
      </c>
      <c r="J364" s="15" t="s">
        <v>1351</v>
      </c>
      <c r="K364" s="15" t="s">
        <v>223</v>
      </c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7"/>
      <c r="X364" s="17"/>
      <c r="Y364" s="17"/>
      <c r="Z364" s="17"/>
    </row>
    <row r="365" ht="15.75" customHeight="1">
      <c r="A365" s="24" t="s">
        <v>214</v>
      </c>
      <c r="B365" s="24" t="s">
        <v>1620</v>
      </c>
      <c r="C365" s="15" t="s">
        <v>1621</v>
      </c>
      <c r="D365" s="24" t="s">
        <v>1468</v>
      </c>
      <c r="E365" s="24" t="s">
        <v>1620</v>
      </c>
      <c r="F365" s="24" t="s">
        <v>38</v>
      </c>
      <c r="G365" s="15" t="s">
        <v>1357</v>
      </c>
      <c r="H365" s="15" t="s">
        <v>52</v>
      </c>
      <c r="I365" s="15" t="s">
        <v>221</v>
      </c>
      <c r="J365" s="15" t="s">
        <v>1351</v>
      </c>
      <c r="K365" s="15" t="s">
        <v>223</v>
      </c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7"/>
      <c r="X365" s="17"/>
      <c r="Y365" s="17"/>
      <c r="Z365" s="17"/>
    </row>
    <row r="366" ht="15.75" customHeight="1">
      <c r="A366" s="24" t="s">
        <v>356</v>
      </c>
      <c r="B366" s="24" t="s">
        <v>1622</v>
      </c>
      <c r="C366" s="15" t="s">
        <v>1623</v>
      </c>
      <c r="D366" s="24" t="s">
        <v>1624</v>
      </c>
      <c r="E366" s="24" t="s">
        <v>1622</v>
      </c>
      <c r="F366" s="24" t="s">
        <v>38</v>
      </c>
      <c r="G366" s="15" t="s">
        <v>52</v>
      </c>
      <c r="H366" s="15" t="s">
        <v>52</v>
      </c>
      <c r="I366" s="15" t="s">
        <v>221</v>
      </c>
      <c r="J366" s="15" t="s">
        <v>1351</v>
      </c>
      <c r="K366" s="15" t="s">
        <v>223</v>
      </c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7"/>
      <c r="X366" s="17"/>
      <c r="Y366" s="17"/>
      <c r="Z366" s="17"/>
    </row>
    <row r="367" ht="15.75" customHeight="1">
      <c r="A367" s="24" t="s">
        <v>356</v>
      </c>
      <c r="B367" s="24" t="s">
        <v>1625</v>
      </c>
      <c r="C367" s="15" t="s">
        <v>1626</v>
      </c>
      <c r="D367" s="24" t="s">
        <v>1627</v>
      </c>
      <c r="E367" s="24" t="s">
        <v>1625</v>
      </c>
      <c r="F367" s="24" t="s">
        <v>38</v>
      </c>
      <c r="G367" s="15" t="s">
        <v>52</v>
      </c>
      <c r="H367" s="15" t="s">
        <v>52</v>
      </c>
      <c r="I367" s="15" t="s">
        <v>221</v>
      </c>
      <c r="J367" s="15" t="s">
        <v>1351</v>
      </c>
      <c r="K367" s="15" t="s">
        <v>223</v>
      </c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7"/>
      <c r="X367" s="17"/>
      <c r="Y367" s="17"/>
      <c r="Z367" s="17"/>
    </row>
    <row r="368" ht="15.75" customHeight="1">
      <c r="A368" s="24" t="s">
        <v>356</v>
      </c>
      <c r="B368" s="24" t="s">
        <v>1602</v>
      </c>
      <c r="C368" s="15" t="s">
        <v>1628</v>
      </c>
      <c r="D368" s="24" t="s">
        <v>1602</v>
      </c>
      <c r="E368" s="24" t="s">
        <v>1629</v>
      </c>
      <c r="F368" s="24" t="s">
        <v>38</v>
      </c>
      <c r="G368" s="15" t="s">
        <v>1630</v>
      </c>
      <c r="H368" s="15" t="s">
        <v>52</v>
      </c>
      <c r="I368" s="15" t="s">
        <v>221</v>
      </c>
      <c r="J368" s="15" t="s">
        <v>1351</v>
      </c>
      <c r="K368" s="15" t="s">
        <v>223</v>
      </c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7"/>
      <c r="X368" s="17"/>
      <c r="Y368" s="17"/>
      <c r="Z368" s="17"/>
    </row>
    <row r="369" ht="15.75" customHeight="1">
      <c r="A369" s="24" t="s">
        <v>356</v>
      </c>
      <c r="B369" s="24" t="s">
        <v>1631</v>
      </c>
      <c r="C369" s="15" t="s">
        <v>1612</v>
      </c>
      <c r="D369" s="24" t="s">
        <v>1631</v>
      </c>
      <c r="E369" s="24" t="s">
        <v>1631</v>
      </c>
      <c r="F369" s="24" t="s">
        <v>38</v>
      </c>
      <c r="G369" s="15" t="s">
        <v>52</v>
      </c>
      <c r="H369" s="15" t="s">
        <v>52</v>
      </c>
      <c r="I369" s="15" t="s">
        <v>221</v>
      </c>
      <c r="J369" s="15" t="s">
        <v>1351</v>
      </c>
      <c r="K369" s="15" t="s">
        <v>223</v>
      </c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7"/>
      <c r="X369" s="17"/>
      <c r="Y369" s="17"/>
      <c r="Z369" s="17"/>
    </row>
    <row r="370" ht="15.75" customHeight="1">
      <c r="A370" s="24" t="s">
        <v>356</v>
      </c>
      <c r="B370" s="24" t="s">
        <v>1632</v>
      </c>
      <c r="C370" s="15"/>
      <c r="D370" s="24" t="s">
        <v>1632</v>
      </c>
      <c r="E370" s="26" t="s">
        <v>1632</v>
      </c>
      <c r="F370" s="26" t="s">
        <v>151</v>
      </c>
      <c r="G370" s="21" t="s">
        <v>152</v>
      </c>
      <c r="H370" s="15" t="s">
        <v>52</v>
      </c>
      <c r="I370" s="15" t="s">
        <v>221</v>
      </c>
      <c r="J370" s="15" t="s">
        <v>1351</v>
      </c>
      <c r="K370" s="15" t="s">
        <v>223</v>
      </c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7"/>
      <c r="X370" s="17"/>
      <c r="Y370" s="17"/>
      <c r="Z370" s="17"/>
    </row>
    <row r="371" ht="15.75" customHeight="1">
      <c r="A371" s="24" t="s">
        <v>356</v>
      </c>
      <c r="B371" s="24" t="s">
        <v>1633</v>
      </c>
      <c r="C371" s="15" t="s">
        <v>1634</v>
      </c>
      <c r="D371" s="24" t="s">
        <v>1635</v>
      </c>
      <c r="E371" s="24" t="s">
        <v>1633</v>
      </c>
      <c r="F371" s="24" t="s">
        <v>38</v>
      </c>
      <c r="G371" s="15" t="s">
        <v>52</v>
      </c>
      <c r="H371" s="15" t="s">
        <v>52</v>
      </c>
      <c r="I371" s="15" t="s">
        <v>221</v>
      </c>
      <c r="J371" s="15" t="s">
        <v>1351</v>
      </c>
      <c r="K371" s="15" t="s">
        <v>223</v>
      </c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7"/>
      <c r="X371" s="17"/>
      <c r="Y371" s="17"/>
      <c r="Z371" s="17"/>
    </row>
    <row r="372" ht="15.75" customHeight="1">
      <c r="A372" s="24" t="s">
        <v>356</v>
      </c>
      <c r="B372" s="24" t="s">
        <v>1636</v>
      </c>
      <c r="C372" s="15" t="s">
        <v>1637</v>
      </c>
      <c r="D372" s="24" t="s">
        <v>1638</v>
      </c>
      <c r="E372" s="24" t="s">
        <v>1636</v>
      </c>
      <c r="F372" s="24" t="s">
        <v>38</v>
      </c>
      <c r="G372" s="15" t="s">
        <v>52</v>
      </c>
      <c r="H372" s="15" t="s">
        <v>52</v>
      </c>
      <c r="I372" s="15" t="s">
        <v>221</v>
      </c>
      <c r="J372" s="15" t="s">
        <v>1351</v>
      </c>
      <c r="K372" s="15" t="s">
        <v>223</v>
      </c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7"/>
      <c r="X372" s="17"/>
      <c r="Y372" s="17"/>
      <c r="Z372" s="17"/>
    </row>
    <row r="373" ht="15.75" customHeight="1">
      <c r="A373" s="24" t="s">
        <v>370</v>
      </c>
      <c r="B373" s="24" t="s">
        <v>1639</v>
      </c>
      <c r="C373" s="15"/>
      <c r="D373" s="24" t="s">
        <v>1639</v>
      </c>
      <c r="E373" s="26" t="s">
        <v>1640</v>
      </c>
      <c r="F373" s="26" t="s">
        <v>1641</v>
      </c>
      <c r="G373" s="21" t="s">
        <v>52</v>
      </c>
      <c r="H373" s="15" t="s">
        <v>52</v>
      </c>
      <c r="I373" s="15" t="s">
        <v>221</v>
      </c>
      <c r="J373" s="15" t="s">
        <v>1351</v>
      </c>
      <c r="K373" s="15" t="s">
        <v>223</v>
      </c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7"/>
      <c r="X373" s="17"/>
      <c r="Y373" s="17"/>
      <c r="Z373" s="17"/>
    </row>
    <row r="374" ht="15.75" customHeight="1">
      <c r="A374" s="24" t="s">
        <v>1417</v>
      </c>
      <c r="B374" s="24" t="s">
        <v>1642</v>
      </c>
      <c r="C374" s="15" t="s">
        <v>1643</v>
      </c>
      <c r="D374" s="24" t="s">
        <v>1642</v>
      </c>
      <c r="E374" s="24" t="s">
        <v>1644</v>
      </c>
      <c r="F374" s="24" t="s">
        <v>38</v>
      </c>
      <c r="G374" s="15" t="s">
        <v>52</v>
      </c>
      <c r="H374" s="15" t="s">
        <v>52</v>
      </c>
      <c r="I374" s="15" t="s">
        <v>221</v>
      </c>
      <c r="J374" s="15" t="s">
        <v>1351</v>
      </c>
      <c r="K374" s="15" t="s">
        <v>223</v>
      </c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7"/>
      <c r="X374" s="17"/>
      <c r="Y374" s="17"/>
      <c r="Z374" s="17"/>
    </row>
    <row r="375" ht="15.75" customHeight="1">
      <c r="A375" s="24" t="s">
        <v>1171</v>
      </c>
      <c r="B375" s="24" t="s">
        <v>1645</v>
      </c>
      <c r="C375" s="15" t="s">
        <v>1646</v>
      </c>
      <c r="D375" s="24" t="s">
        <v>1647</v>
      </c>
      <c r="E375" s="24" t="s">
        <v>1648</v>
      </c>
      <c r="F375" s="24" t="s">
        <v>38</v>
      </c>
      <c r="G375" s="15" t="s">
        <v>52</v>
      </c>
      <c r="H375" s="15" t="s">
        <v>52</v>
      </c>
      <c r="I375" s="15" t="s">
        <v>221</v>
      </c>
      <c r="J375" s="15" t="s">
        <v>1351</v>
      </c>
      <c r="K375" s="15" t="s">
        <v>223</v>
      </c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7"/>
      <c r="X375" s="17"/>
      <c r="Y375" s="17"/>
      <c r="Z375" s="17"/>
    </row>
    <row r="376" ht="15.75" customHeight="1">
      <c r="A376" s="24" t="s">
        <v>1171</v>
      </c>
      <c r="B376" s="24" t="s">
        <v>1649</v>
      </c>
      <c r="C376" s="15" t="s">
        <v>1650</v>
      </c>
      <c r="D376" s="24" t="s">
        <v>1651</v>
      </c>
      <c r="E376" s="24" t="s">
        <v>1652</v>
      </c>
      <c r="F376" s="24" t="s">
        <v>38</v>
      </c>
      <c r="G376" s="15" t="s">
        <v>52</v>
      </c>
      <c r="H376" s="15" t="s">
        <v>52</v>
      </c>
      <c r="I376" s="15" t="s">
        <v>221</v>
      </c>
      <c r="J376" s="15" t="s">
        <v>1351</v>
      </c>
      <c r="K376" s="15" t="s">
        <v>223</v>
      </c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7"/>
      <c r="X376" s="17"/>
      <c r="Y376" s="17"/>
      <c r="Z376" s="17"/>
    </row>
    <row r="377" ht="15.75" customHeight="1">
      <c r="A377" s="24" t="s">
        <v>1171</v>
      </c>
      <c r="B377" s="24" t="s">
        <v>1653</v>
      </c>
      <c r="C377" s="15" t="s">
        <v>1650</v>
      </c>
      <c r="D377" s="24" t="s">
        <v>1651</v>
      </c>
      <c r="E377" s="24" t="s">
        <v>1654</v>
      </c>
      <c r="F377" s="24" t="s">
        <v>38</v>
      </c>
      <c r="G377" s="15" t="s">
        <v>52</v>
      </c>
      <c r="H377" s="15" t="s">
        <v>52</v>
      </c>
      <c r="I377" s="15" t="s">
        <v>221</v>
      </c>
      <c r="J377" s="15" t="s">
        <v>1351</v>
      </c>
      <c r="K377" s="15" t="s">
        <v>223</v>
      </c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7"/>
      <c r="X377" s="17"/>
      <c r="Y377" s="17"/>
      <c r="Z377" s="17"/>
    </row>
    <row r="378" ht="15.75" customHeight="1">
      <c r="A378" s="24" t="s">
        <v>1171</v>
      </c>
      <c r="B378" s="24" t="s">
        <v>1655</v>
      </c>
      <c r="C378" s="15" t="s">
        <v>1650</v>
      </c>
      <c r="D378" s="24" t="s">
        <v>1651</v>
      </c>
      <c r="E378" s="24" t="s">
        <v>1656</v>
      </c>
      <c r="F378" s="24" t="s">
        <v>38</v>
      </c>
      <c r="G378" s="15" t="s">
        <v>52</v>
      </c>
      <c r="H378" s="15" t="s">
        <v>52</v>
      </c>
      <c r="I378" s="15" t="s">
        <v>221</v>
      </c>
      <c r="J378" s="15" t="s">
        <v>1351</v>
      </c>
      <c r="K378" s="15" t="s">
        <v>223</v>
      </c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7"/>
      <c r="X378" s="17"/>
      <c r="Y378" s="17"/>
      <c r="Z378" s="17"/>
    </row>
    <row r="379" ht="15.75" customHeight="1">
      <c r="A379" s="24" t="s">
        <v>1171</v>
      </c>
      <c r="B379" s="24" t="s">
        <v>1657</v>
      </c>
      <c r="C379" s="15" t="s">
        <v>1658</v>
      </c>
      <c r="D379" s="24" t="s">
        <v>1659</v>
      </c>
      <c r="E379" s="24" t="s">
        <v>1660</v>
      </c>
      <c r="F379" s="24" t="s">
        <v>38</v>
      </c>
      <c r="G379" s="15" t="s">
        <v>52</v>
      </c>
      <c r="H379" s="15" t="s">
        <v>52</v>
      </c>
      <c r="I379" s="15" t="s">
        <v>221</v>
      </c>
      <c r="J379" s="15" t="s">
        <v>1351</v>
      </c>
      <c r="K379" s="15" t="s">
        <v>223</v>
      </c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7"/>
      <c r="X379" s="17"/>
      <c r="Y379" s="17"/>
      <c r="Z379" s="17"/>
    </row>
    <row r="380" ht="15.75" customHeight="1">
      <c r="A380" s="24" t="s">
        <v>1171</v>
      </c>
      <c r="B380" s="24" t="s">
        <v>1662</v>
      </c>
      <c r="C380" s="15" t="s">
        <v>1663</v>
      </c>
      <c r="D380" s="24" t="s">
        <v>1659</v>
      </c>
      <c r="E380" s="24" t="s">
        <v>1664</v>
      </c>
      <c r="F380" s="24" t="s">
        <v>38</v>
      </c>
      <c r="G380" s="15" t="s">
        <v>52</v>
      </c>
      <c r="H380" s="15" t="s">
        <v>52</v>
      </c>
      <c r="I380" s="15" t="s">
        <v>221</v>
      </c>
      <c r="J380" s="15" t="s">
        <v>1351</v>
      </c>
      <c r="K380" s="15" t="s">
        <v>223</v>
      </c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7"/>
      <c r="X380" s="17"/>
      <c r="Y380" s="17"/>
      <c r="Z380" s="17"/>
    </row>
    <row r="381" ht="15.75" customHeight="1">
      <c r="A381" s="24" t="s">
        <v>1171</v>
      </c>
      <c r="B381" s="24" t="s">
        <v>1665</v>
      </c>
      <c r="C381" s="15" t="s">
        <v>1666</v>
      </c>
      <c r="D381" s="24" t="s">
        <v>1659</v>
      </c>
      <c r="E381" s="24" t="s">
        <v>1667</v>
      </c>
      <c r="F381" s="24" t="s">
        <v>38</v>
      </c>
      <c r="G381" s="15" t="s">
        <v>52</v>
      </c>
      <c r="H381" s="15" t="s">
        <v>52</v>
      </c>
      <c r="I381" s="15" t="s">
        <v>221</v>
      </c>
      <c r="J381" s="15" t="s">
        <v>1351</v>
      </c>
      <c r="K381" s="15" t="s">
        <v>223</v>
      </c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7"/>
      <c r="X381" s="17"/>
      <c r="Y381" s="17"/>
      <c r="Z381" s="17"/>
    </row>
    <row r="382" ht="15.75" customHeight="1">
      <c r="A382" s="24" t="s">
        <v>1171</v>
      </c>
      <c r="B382" s="24" t="s">
        <v>1668</v>
      </c>
      <c r="C382" s="15" t="s">
        <v>1400</v>
      </c>
      <c r="D382" s="24" t="s">
        <v>1659</v>
      </c>
      <c r="E382" s="24" t="s">
        <v>1669</v>
      </c>
      <c r="F382" s="24" t="s">
        <v>38</v>
      </c>
      <c r="G382" s="15" t="s">
        <v>52</v>
      </c>
      <c r="H382" s="15" t="s">
        <v>52</v>
      </c>
      <c r="I382" s="15" t="s">
        <v>221</v>
      </c>
      <c r="J382" s="15" t="s">
        <v>1351</v>
      </c>
      <c r="K382" s="15" t="s">
        <v>223</v>
      </c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7"/>
      <c r="X382" s="17"/>
      <c r="Y382" s="17"/>
      <c r="Z382" s="17"/>
    </row>
    <row r="383" ht="15.75" customHeight="1">
      <c r="A383" s="24" t="s">
        <v>1171</v>
      </c>
      <c r="B383" s="24" t="s">
        <v>1671</v>
      </c>
      <c r="C383" s="15" t="s">
        <v>1672</v>
      </c>
      <c r="D383" s="24" t="s">
        <v>1659</v>
      </c>
      <c r="E383" s="24" t="s">
        <v>1673</v>
      </c>
      <c r="F383" s="24" t="s">
        <v>38</v>
      </c>
      <c r="G383" s="15" t="s">
        <v>52</v>
      </c>
      <c r="H383" s="15" t="s">
        <v>52</v>
      </c>
      <c r="I383" s="15" t="s">
        <v>221</v>
      </c>
      <c r="J383" s="15" t="s">
        <v>1351</v>
      </c>
      <c r="K383" s="15" t="s">
        <v>223</v>
      </c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7"/>
      <c r="X383" s="17"/>
      <c r="Y383" s="17"/>
      <c r="Z383" s="17"/>
    </row>
    <row r="384" ht="15.75" customHeight="1">
      <c r="A384" s="24" t="s">
        <v>1674</v>
      </c>
      <c r="B384" s="24" t="s">
        <v>1675</v>
      </c>
      <c r="C384" s="15" t="s">
        <v>1676</v>
      </c>
      <c r="D384" s="24" t="s">
        <v>1677</v>
      </c>
      <c r="E384" s="24" t="s">
        <v>1675</v>
      </c>
      <c r="F384" s="24" t="s">
        <v>38</v>
      </c>
      <c r="G384" s="15" t="s">
        <v>1357</v>
      </c>
      <c r="H384" s="15" t="s">
        <v>52</v>
      </c>
      <c r="I384" s="15" t="s">
        <v>221</v>
      </c>
      <c r="J384" s="15" t="s">
        <v>1351</v>
      </c>
      <c r="K384" s="15" t="s">
        <v>223</v>
      </c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7"/>
      <c r="X384" s="17"/>
      <c r="Y384" s="17"/>
      <c r="Z384" s="17"/>
    </row>
    <row r="385" ht="15.75" customHeight="1">
      <c r="A385" s="15" t="s">
        <v>1678</v>
      </c>
      <c r="B385" s="15" t="s">
        <v>89</v>
      </c>
      <c r="C385" s="15" t="s">
        <v>91</v>
      </c>
      <c r="D385" s="15" t="s">
        <v>1679</v>
      </c>
      <c r="E385" s="15" t="s">
        <v>1680</v>
      </c>
      <c r="F385" s="15" t="s">
        <v>94</v>
      </c>
      <c r="G385" s="15" t="s">
        <v>91</v>
      </c>
      <c r="H385" s="15" t="s">
        <v>1681</v>
      </c>
      <c r="I385" s="15" t="s">
        <v>41</v>
      </c>
      <c r="J385" s="16" t="s">
        <v>1682</v>
      </c>
      <c r="K385" s="15" t="s">
        <v>98</v>
      </c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7"/>
      <c r="X385" s="17"/>
      <c r="Y385" s="17"/>
      <c r="Z385" s="17"/>
    </row>
    <row r="386" ht="15.75" customHeight="1">
      <c r="A386" s="15" t="s">
        <v>1444</v>
      </c>
      <c r="B386" s="15" t="s">
        <v>1445</v>
      </c>
      <c r="C386" s="15" t="s">
        <v>1447</v>
      </c>
      <c r="D386" s="15" t="s">
        <v>1683</v>
      </c>
      <c r="E386" s="15" t="s">
        <v>1445</v>
      </c>
      <c r="F386" s="15" t="s">
        <v>38</v>
      </c>
      <c r="G386" s="15" t="s">
        <v>52</v>
      </c>
      <c r="H386" s="15" t="s">
        <v>1451</v>
      </c>
      <c r="I386" s="15" t="s">
        <v>41</v>
      </c>
      <c r="J386" s="15" t="s">
        <v>1452</v>
      </c>
      <c r="K386" s="15" t="s">
        <v>223</v>
      </c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7"/>
      <c r="X386" s="17"/>
      <c r="Y386" s="17"/>
      <c r="Z386" s="17"/>
    </row>
    <row r="387" ht="15.75" customHeight="1">
      <c r="A387" s="15" t="s">
        <v>1684</v>
      </c>
      <c r="B387" s="15" t="s">
        <v>89</v>
      </c>
      <c r="C387" s="15" t="s">
        <v>91</v>
      </c>
      <c r="D387" s="15" t="s">
        <v>1685</v>
      </c>
      <c r="E387" s="15" t="s">
        <v>1686</v>
      </c>
      <c r="F387" s="15" t="s">
        <v>94</v>
      </c>
      <c r="G387" s="15" t="s">
        <v>91</v>
      </c>
      <c r="H387" s="15" t="s">
        <v>1687</v>
      </c>
      <c r="I387" s="15" t="s">
        <v>41</v>
      </c>
      <c r="J387" s="16" t="s">
        <v>1688</v>
      </c>
      <c r="K387" s="15" t="s">
        <v>98</v>
      </c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7"/>
      <c r="X387" s="17"/>
      <c r="Y387" s="17"/>
      <c r="Z387" s="17"/>
    </row>
    <row r="388" ht="15.75" customHeight="1">
      <c r="A388" s="15" t="s">
        <v>1417</v>
      </c>
      <c r="B388" s="15" t="s">
        <v>1229</v>
      </c>
      <c r="C388" s="15" t="s">
        <v>1418</v>
      </c>
      <c r="D388" s="15" t="s">
        <v>1229</v>
      </c>
      <c r="E388" s="15" t="s">
        <v>1231</v>
      </c>
      <c r="F388" s="15" t="s">
        <v>38</v>
      </c>
      <c r="G388" s="15" t="s">
        <v>52</v>
      </c>
      <c r="H388" s="15" t="s">
        <v>1237</v>
      </c>
      <c r="I388" s="15" t="s">
        <v>41</v>
      </c>
      <c r="J388" s="16" t="s">
        <v>1227</v>
      </c>
      <c r="K388" s="15" t="s">
        <v>85</v>
      </c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7"/>
      <c r="X388" s="17"/>
      <c r="Y388" s="17"/>
      <c r="Z388" s="17"/>
    </row>
    <row r="389" ht="15.75" customHeight="1">
      <c r="A389" s="15" t="s">
        <v>1417</v>
      </c>
      <c r="B389" s="15" t="s">
        <v>1421</v>
      </c>
      <c r="C389" s="15" t="s">
        <v>1422</v>
      </c>
      <c r="D389" s="15" t="s">
        <v>1421</v>
      </c>
      <c r="E389" s="15" t="s">
        <v>1425</v>
      </c>
      <c r="F389" s="15" t="s">
        <v>38</v>
      </c>
      <c r="G389" s="15" t="s">
        <v>52</v>
      </c>
      <c r="H389" s="15" t="s">
        <v>1237</v>
      </c>
      <c r="I389" s="15" t="s">
        <v>41</v>
      </c>
      <c r="J389" s="16" t="s">
        <v>1227</v>
      </c>
      <c r="K389" s="15" t="s">
        <v>85</v>
      </c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7"/>
      <c r="X389" s="17"/>
      <c r="Y389" s="17"/>
      <c r="Z389" s="17"/>
    </row>
    <row r="390" ht="15.75" customHeight="1">
      <c r="A390" s="15" t="s">
        <v>1417</v>
      </c>
      <c r="B390" s="15" t="s">
        <v>1433</v>
      </c>
      <c r="C390" s="15" t="s">
        <v>1434</v>
      </c>
      <c r="D390" s="15" t="s">
        <v>1433</v>
      </c>
      <c r="E390" s="15" t="s">
        <v>1438</v>
      </c>
      <c r="F390" s="15" t="s">
        <v>38</v>
      </c>
      <c r="G390" s="15" t="s">
        <v>1439</v>
      </c>
      <c r="H390" s="15" t="s">
        <v>1440</v>
      </c>
      <c r="I390" s="15" t="s">
        <v>41</v>
      </c>
      <c r="J390" s="16" t="s">
        <v>1441</v>
      </c>
      <c r="K390" s="15" t="s">
        <v>85</v>
      </c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7"/>
      <c r="X390" s="17"/>
      <c r="Y390" s="17"/>
      <c r="Z390" s="17"/>
    </row>
    <row r="391" ht="15.75" customHeight="1">
      <c r="A391" s="15" t="s">
        <v>1417</v>
      </c>
      <c r="B391" s="15" t="s">
        <v>89</v>
      </c>
      <c r="C391" s="15" t="s">
        <v>91</v>
      </c>
      <c r="D391" s="15" t="s">
        <v>1693</v>
      </c>
      <c r="E391" s="15" t="s">
        <v>338</v>
      </c>
      <c r="F391" s="15" t="s">
        <v>94</v>
      </c>
      <c r="G391" s="15" t="s">
        <v>91</v>
      </c>
      <c r="H391" s="15" t="s">
        <v>341</v>
      </c>
      <c r="I391" s="15" t="s">
        <v>41</v>
      </c>
      <c r="J391" s="16" t="s">
        <v>336</v>
      </c>
      <c r="K391" s="15" t="s">
        <v>98</v>
      </c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7"/>
      <c r="X391" s="17"/>
      <c r="Y391" s="17"/>
      <c r="Z391" s="17"/>
    </row>
    <row r="392" ht="15.75" customHeight="1">
      <c r="A392" s="24" t="s">
        <v>1674</v>
      </c>
      <c r="B392" s="24" t="s">
        <v>1694</v>
      </c>
      <c r="C392" s="15" t="s">
        <v>1695</v>
      </c>
      <c r="D392" s="24" t="s">
        <v>1696</v>
      </c>
      <c r="E392" s="24" t="s">
        <v>1694</v>
      </c>
      <c r="F392" s="24" t="s">
        <v>38</v>
      </c>
      <c r="G392" s="15" t="s">
        <v>52</v>
      </c>
      <c r="H392" s="15" t="s">
        <v>52</v>
      </c>
      <c r="I392" s="15" t="s">
        <v>221</v>
      </c>
      <c r="J392" s="15" t="s">
        <v>1351</v>
      </c>
      <c r="K392" s="15" t="s">
        <v>223</v>
      </c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7"/>
      <c r="X392" s="17"/>
      <c r="Y392" s="17"/>
      <c r="Z392" s="17"/>
    </row>
    <row r="393" ht="15.75" customHeight="1">
      <c r="A393" s="24" t="s">
        <v>1417</v>
      </c>
      <c r="B393" s="24" t="s">
        <v>1697</v>
      </c>
      <c r="C393" s="15" t="s">
        <v>1698</v>
      </c>
      <c r="D393" s="24" t="s">
        <v>1697</v>
      </c>
      <c r="E393" s="24" t="s">
        <v>1699</v>
      </c>
      <c r="F393" s="24" t="s">
        <v>38</v>
      </c>
      <c r="G393" s="15" t="s">
        <v>1700</v>
      </c>
      <c r="H393" s="15" t="s">
        <v>1701</v>
      </c>
      <c r="I393" s="15" t="s">
        <v>41</v>
      </c>
      <c r="J393" s="15" t="s">
        <v>1702</v>
      </c>
      <c r="K393" s="15" t="s">
        <v>85</v>
      </c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7"/>
      <c r="X393" s="17"/>
      <c r="Y393" s="17"/>
      <c r="Z393" s="17"/>
    </row>
    <row r="394" ht="15.75" customHeight="1">
      <c r="A394" s="15" t="s">
        <v>1703</v>
      </c>
      <c r="B394" s="15" t="s">
        <v>89</v>
      </c>
      <c r="C394" s="15" t="s">
        <v>91</v>
      </c>
      <c r="D394" s="15" t="s">
        <v>1704</v>
      </c>
      <c r="E394" s="15" t="s">
        <v>538</v>
      </c>
      <c r="F394" s="15" t="s">
        <v>94</v>
      </c>
      <c r="G394" s="15" t="s">
        <v>91</v>
      </c>
      <c r="H394" s="15" t="s">
        <v>544</v>
      </c>
      <c r="I394" s="15" t="s">
        <v>41</v>
      </c>
      <c r="J394" s="15" t="s">
        <v>536</v>
      </c>
      <c r="K394" s="15" t="s">
        <v>98</v>
      </c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7"/>
      <c r="X394" s="17"/>
      <c r="Y394" s="17"/>
      <c r="Z394" s="17"/>
    </row>
    <row r="395" ht="15.75" customHeight="1">
      <c r="A395" s="15" t="s">
        <v>1703</v>
      </c>
      <c r="B395" s="15" t="s">
        <v>89</v>
      </c>
      <c r="C395" s="15" t="s">
        <v>91</v>
      </c>
      <c r="D395" s="15" t="s">
        <v>1705</v>
      </c>
      <c r="E395" s="15" t="s">
        <v>1706</v>
      </c>
      <c r="F395" s="15" t="s">
        <v>94</v>
      </c>
      <c r="G395" s="15" t="s">
        <v>91</v>
      </c>
      <c r="H395" s="15" t="s">
        <v>1707</v>
      </c>
      <c r="I395" s="15" t="s">
        <v>41</v>
      </c>
      <c r="J395" s="15" t="s">
        <v>1452</v>
      </c>
      <c r="K395" s="15" t="s">
        <v>98</v>
      </c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7"/>
      <c r="X395" s="17"/>
      <c r="Y395" s="17"/>
      <c r="Z395" s="17"/>
    </row>
    <row r="396" ht="15.75" customHeight="1">
      <c r="A396" s="15" t="s">
        <v>1703</v>
      </c>
      <c r="B396" s="15" t="s">
        <v>89</v>
      </c>
      <c r="C396" s="15" t="s">
        <v>91</v>
      </c>
      <c r="D396" s="15" t="s">
        <v>1708</v>
      </c>
      <c r="E396" s="15" t="s">
        <v>527</v>
      </c>
      <c r="F396" s="15" t="s">
        <v>94</v>
      </c>
      <c r="G396" s="15" t="s">
        <v>91</v>
      </c>
      <c r="H396" s="15" t="s">
        <v>530</v>
      </c>
      <c r="I396" s="15" t="s">
        <v>41</v>
      </c>
      <c r="J396" s="15" t="s">
        <v>524</v>
      </c>
      <c r="K396" s="15" t="s">
        <v>98</v>
      </c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7"/>
      <c r="X396" s="17"/>
      <c r="Y396" s="17"/>
      <c r="Z396" s="17"/>
    </row>
    <row r="397" ht="15.75" customHeight="1">
      <c r="A397" s="15" t="s">
        <v>1710</v>
      </c>
      <c r="B397" s="15" t="s">
        <v>89</v>
      </c>
      <c r="C397" s="15" t="s">
        <v>91</v>
      </c>
      <c r="D397" s="15" t="s">
        <v>1711</v>
      </c>
      <c r="E397" s="15" t="s">
        <v>1712</v>
      </c>
      <c r="F397" s="15" t="s">
        <v>94</v>
      </c>
      <c r="G397" s="15" t="s">
        <v>91</v>
      </c>
      <c r="H397" s="15" t="s">
        <v>1713</v>
      </c>
      <c r="I397" s="15" t="s">
        <v>41</v>
      </c>
      <c r="J397" s="15" t="s">
        <v>1714</v>
      </c>
      <c r="K397" s="15" t="s">
        <v>98</v>
      </c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7"/>
      <c r="X397" s="17"/>
      <c r="Y397" s="17"/>
      <c r="Z397" s="17"/>
    </row>
    <row r="398" ht="15.75" customHeight="1">
      <c r="A398" s="15" t="s">
        <v>1710</v>
      </c>
      <c r="B398" s="15" t="s">
        <v>89</v>
      </c>
      <c r="C398" s="15" t="s">
        <v>91</v>
      </c>
      <c r="D398" s="15" t="s">
        <v>1715</v>
      </c>
      <c r="E398" s="15" t="s">
        <v>1377</v>
      </c>
      <c r="F398" s="15" t="s">
        <v>94</v>
      </c>
      <c r="G398" s="15" t="s">
        <v>91</v>
      </c>
      <c r="H398" s="15" t="s">
        <v>1383</v>
      </c>
      <c r="I398" s="15" t="s">
        <v>41</v>
      </c>
      <c r="J398" s="15" t="s">
        <v>1374</v>
      </c>
      <c r="K398" s="15" t="s">
        <v>98</v>
      </c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7"/>
      <c r="X398" s="17"/>
      <c r="Y398" s="17"/>
      <c r="Z398" s="17"/>
    </row>
    <row r="399" ht="15.75" customHeight="1">
      <c r="A399" s="24" t="s">
        <v>1716</v>
      </c>
      <c r="B399" s="24" t="s">
        <v>1717</v>
      </c>
      <c r="C399" s="15" t="s">
        <v>1718</v>
      </c>
      <c r="D399" s="24" t="s">
        <v>1717</v>
      </c>
      <c r="E399" s="24" t="s">
        <v>1719</v>
      </c>
      <c r="F399" s="24" t="s">
        <v>38</v>
      </c>
      <c r="G399" s="15" t="s">
        <v>1720</v>
      </c>
      <c r="H399" s="15" t="s">
        <v>1721</v>
      </c>
      <c r="I399" s="15" t="s">
        <v>41</v>
      </c>
      <c r="J399" s="15" t="s">
        <v>1722</v>
      </c>
      <c r="K399" s="15" t="s">
        <v>223</v>
      </c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7"/>
      <c r="X399" s="17"/>
      <c r="Y399" s="17"/>
      <c r="Z399" s="17"/>
    </row>
    <row r="400" ht="15.75" customHeight="1">
      <c r="A400" s="24" t="s">
        <v>1674</v>
      </c>
      <c r="B400" s="24" t="s">
        <v>1723</v>
      </c>
      <c r="C400" s="15"/>
      <c r="D400" s="24" t="s">
        <v>1724</v>
      </c>
      <c r="E400" s="26" t="s">
        <v>1723</v>
      </c>
      <c r="F400" s="26" t="s">
        <v>151</v>
      </c>
      <c r="G400" s="21" t="s">
        <v>152</v>
      </c>
      <c r="H400" s="15" t="s">
        <v>52</v>
      </c>
      <c r="I400" s="15" t="s">
        <v>221</v>
      </c>
      <c r="J400" s="15" t="s">
        <v>1351</v>
      </c>
      <c r="K400" s="15" t="s">
        <v>223</v>
      </c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7"/>
      <c r="X400" s="17"/>
      <c r="Y400" s="17"/>
      <c r="Z400" s="17"/>
    </row>
    <row r="401" ht="15.75" customHeight="1">
      <c r="A401" s="24" t="s">
        <v>350</v>
      </c>
      <c r="B401" s="24" t="s">
        <v>1725</v>
      </c>
      <c r="C401" s="15" t="s">
        <v>1726</v>
      </c>
      <c r="D401" s="24" t="s">
        <v>1727</v>
      </c>
      <c r="E401" s="24" t="s">
        <v>1725</v>
      </c>
      <c r="F401" s="24" t="s">
        <v>38</v>
      </c>
      <c r="G401" s="15" t="s">
        <v>52</v>
      </c>
      <c r="H401" s="15" t="s">
        <v>52</v>
      </c>
      <c r="I401" s="15" t="s">
        <v>221</v>
      </c>
      <c r="J401" s="15" t="s">
        <v>1351</v>
      </c>
      <c r="K401" s="15" t="s">
        <v>223</v>
      </c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7"/>
      <c r="X401" s="17"/>
      <c r="Y401" s="17"/>
      <c r="Z401" s="17"/>
    </row>
    <row r="402" ht="15.75" customHeight="1">
      <c r="A402" s="24" t="s">
        <v>350</v>
      </c>
      <c r="B402" s="24" t="s">
        <v>1728</v>
      </c>
      <c r="C402" s="15" t="s">
        <v>1729</v>
      </c>
      <c r="D402" s="24" t="s">
        <v>1730</v>
      </c>
      <c r="E402" s="24" t="s">
        <v>1728</v>
      </c>
      <c r="F402" s="24" t="s">
        <v>38</v>
      </c>
      <c r="G402" s="15" t="s">
        <v>52</v>
      </c>
      <c r="H402" s="15" t="s">
        <v>52</v>
      </c>
      <c r="I402" s="15" t="s">
        <v>221</v>
      </c>
      <c r="J402" s="15" t="s">
        <v>1351</v>
      </c>
      <c r="K402" s="15" t="s">
        <v>223</v>
      </c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7"/>
      <c r="X402" s="17"/>
      <c r="Y402" s="17"/>
      <c r="Z402" s="17"/>
    </row>
    <row r="403" ht="15.75" customHeight="1">
      <c r="A403" s="24" t="s">
        <v>350</v>
      </c>
      <c r="B403" s="24" t="s">
        <v>1732</v>
      </c>
      <c r="C403" s="15" t="s">
        <v>1729</v>
      </c>
      <c r="D403" s="24" t="s">
        <v>1730</v>
      </c>
      <c r="E403" s="24" t="s">
        <v>1732</v>
      </c>
      <c r="F403" s="24" t="s">
        <v>38</v>
      </c>
      <c r="G403" s="15" t="s">
        <v>52</v>
      </c>
      <c r="H403" s="15" t="s">
        <v>52</v>
      </c>
      <c r="I403" s="15" t="s">
        <v>221</v>
      </c>
      <c r="J403" s="15" t="s">
        <v>1351</v>
      </c>
      <c r="K403" s="15" t="s">
        <v>223</v>
      </c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7"/>
      <c r="X403" s="17"/>
      <c r="Y403" s="17"/>
      <c r="Z403" s="17"/>
    </row>
    <row r="404" ht="15.75" customHeight="1">
      <c r="A404" s="24" t="s">
        <v>350</v>
      </c>
      <c r="B404" s="24" t="s">
        <v>1733</v>
      </c>
      <c r="C404" s="15" t="s">
        <v>1734</v>
      </c>
      <c r="D404" s="24" t="s">
        <v>1735</v>
      </c>
      <c r="E404" s="24" t="s">
        <v>1733</v>
      </c>
      <c r="F404" s="24" t="s">
        <v>38</v>
      </c>
      <c r="G404" s="15" t="s">
        <v>52</v>
      </c>
      <c r="H404" s="15" t="s">
        <v>52</v>
      </c>
      <c r="I404" s="15" t="s">
        <v>221</v>
      </c>
      <c r="J404" s="15" t="s">
        <v>1351</v>
      </c>
      <c r="K404" s="15" t="s">
        <v>223</v>
      </c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7"/>
      <c r="X404" s="17"/>
      <c r="Y404" s="17"/>
      <c r="Z404" s="17"/>
    </row>
    <row r="405" ht="15.75" customHeight="1">
      <c r="A405" s="24" t="s">
        <v>350</v>
      </c>
      <c r="B405" s="24" t="s">
        <v>1736</v>
      </c>
      <c r="C405" s="15" t="s">
        <v>1737</v>
      </c>
      <c r="D405" s="24" t="s">
        <v>1739</v>
      </c>
      <c r="E405" s="24" t="s">
        <v>1736</v>
      </c>
      <c r="F405" s="24" t="s">
        <v>38</v>
      </c>
      <c r="G405" s="15" t="s">
        <v>52</v>
      </c>
      <c r="H405" s="15" t="s">
        <v>52</v>
      </c>
      <c r="I405" s="15" t="s">
        <v>221</v>
      </c>
      <c r="J405" s="15" t="s">
        <v>1351</v>
      </c>
      <c r="K405" s="15" t="s">
        <v>223</v>
      </c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7"/>
      <c r="X405" s="17"/>
      <c r="Y405" s="17"/>
      <c r="Z405" s="17"/>
    </row>
    <row r="406" ht="15.75" customHeight="1">
      <c r="A406" s="24" t="s">
        <v>350</v>
      </c>
      <c r="B406" s="24" t="s">
        <v>1740</v>
      </c>
      <c r="C406" s="15" t="s">
        <v>1741</v>
      </c>
      <c r="D406" s="24" t="s">
        <v>1742</v>
      </c>
      <c r="E406" s="24" t="s">
        <v>1740</v>
      </c>
      <c r="F406" s="24" t="s">
        <v>38</v>
      </c>
      <c r="G406" s="15" t="s">
        <v>52</v>
      </c>
      <c r="H406" s="15" t="s">
        <v>52</v>
      </c>
      <c r="I406" s="15" t="s">
        <v>221</v>
      </c>
      <c r="J406" s="15" t="s">
        <v>1351</v>
      </c>
      <c r="K406" s="15" t="s">
        <v>223</v>
      </c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7"/>
      <c r="X406" s="17"/>
      <c r="Y406" s="17"/>
      <c r="Z406" s="17"/>
    </row>
    <row r="407" ht="15.75" customHeight="1">
      <c r="A407" s="24" t="s">
        <v>350</v>
      </c>
      <c r="B407" s="24" t="s">
        <v>1743</v>
      </c>
      <c r="C407" s="15" t="s">
        <v>1744</v>
      </c>
      <c r="D407" s="24" t="s">
        <v>1745</v>
      </c>
      <c r="E407" s="24" t="s">
        <v>1743</v>
      </c>
      <c r="F407" s="24" t="s">
        <v>38</v>
      </c>
      <c r="G407" s="15" t="s">
        <v>52</v>
      </c>
      <c r="H407" s="15" t="s">
        <v>52</v>
      </c>
      <c r="I407" s="15" t="s">
        <v>221</v>
      </c>
      <c r="J407" s="15" t="s">
        <v>1351</v>
      </c>
      <c r="K407" s="15" t="s">
        <v>223</v>
      </c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7"/>
      <c r="X407" s="17"/>
      <c r="Y407" s="17"/>
      <c r="Z407" s="17"/>
    </row>
    <row r="408" ht="15.75" customHeight="1">
      <c r="A408" s="24" t="s">
        <v>483</v>
      </c>
      <c r="B408" s="24" t="s">
        <v>1746</v>
      </c>
      <c r="C408" s="15" t="s">
        <v>1400</v>
      </c>
      <c r="D408" s="24" t="s">
        <v>1746</v>
      </c>
      <c r="E408" s="24" t="s">
        <v>1747</v>
      </c>
      <c r="F408" s="24" t="s">
        <v>38</v>
      </c>
      <c r="G408" s="15" t="s">
        <v>52</v>
      </c>
      <c r="H408" s="15" t="s">
        <v>52</v>
      </c>
      <c r="I408" s="15" t="s">
        <v>221</v>
      </c>
      <c r="J408" s="15" t="s">
        <v>1351</v>
      </c>
      <c r="K408" s="15" t="s">
        <v>223</v>
      </c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7"/>
      <c r="X408" s="17"/>
      <c r="Y408" s="17"/>
      <c r="Z408" s="17"/>
    </row>
    <row r="409" ht="15.75" customHeight="1">
      <c r="A409" s="24" t="s">
        <v>473</v>
      </c>
      <c r="B409" s="24" t="s">
        <v>1748</v>
      </c>
      <c r="C409" s="15" t="s">
        <v>1748</v>
      </c>
      <c r="D409" s="24" t="s">
        <v>1749</v>
      </c>
      <c r="E409" s="27" t="s">
        <v>1750</v>
      </c>
      <c r="F409" s="27" t="s">
        <v>278</v>
      </c>
      <c r="G409" s="15" t="s">
        <v>52</v>
      </c>
      <c r="H409" s="15" t="s">
        <v>52</v>
      </c>
      <c r="I409" s="15" t="s">
        <v>221</v>
      </c>
      <c r="J409" s="15" t="s">
        <v>1351</v>
      </c>
      <c r="K409" s="15" t="s">
        <v>223</v>
      </c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7"/>
      <c r="X409" s="17"/>
      <c r="Y409" s="17"/>
      <c r="Z409" s="17"/>
    </row>
    <row r="410" ht="15.75" customHeight="1">
      <c r="A410" s="24" t="s">
        <v>473</v>
      </c>
      <c r="B410" s="24" t="s">
        <v>1751</v>
      </c>
      <c r="C410" s="15" t="s">
        <v>1752</v>
      </c>
      <c r="D410" s="24" t="s">
        <v>1749</v>
      </c>
      <c r="E410" s="24" t="s">
        <v>1753</v>
      </c>
      <c r="F410" s="24" t="s">
        <v>38</v>
      </c>
      <c r="G410" s="15" t="s">
        <v>52</v>
      </c>
      <c r="H410" s="15" t="s">
        <v>52</v>
      </c>
      <c r="I410" s="15" t="s">
        <v>221</v>
      </c>
      <c r="J410" s="15" t="s">
        <v>1351</v>
      </c>
      <c r="K410" s="15" t="s">
        <v>223</v>
      </c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7"/>
      <c r="X410" s="17"/>
      <c r="Y410" s="17"/>
      <c r="Z410" s="17"/>
    </row>
    <row r="411" ht="15.75" customHeight="1">
      <c r="A411" s="24" t="s">
        <v>1754</v>
      </c>
      <c r="B411" s="24" t="s">
        <v>1755</v>
      </c>
      <c r="C411" s="15" t="s">
        <v>1756</v>
      </c>
      <c r="D411" s="24" t="s">
        <v>1755</v>
      </c>
      <c r="E411" s="24" t="s">
        <v>1757</v>
      </c>
      <c r="F411" s="24" t="s">
        <v>38</v>
      </c>
      <c r="G411" s="15" t="s">
        <v>52</v>
      </c>
      <c r="H411" s="15" t="s">
        <v>52</v>
      </c>
      <c r="I411" s="15" t="s">
        <v>221</v>
      </c>
      <c r="J411" s="15" t="s">
        <v>1351</v>
      </c>
      <c r="K411" s="15" t="s">
        <v>223</v>
      </c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7"/>
      <c r="X411" s="17"/>
      <c r="Y411" s="17"/>
      <c r="Z411" s="17"/>
    </row>
    <row r="412" ht="15.75" customHeight="1">
      <c r="A412" s="24" t="s">
        <v>1754</v>
      </c>
      <c r="B412" s="24" t="s">
        <v>1758</v>
      </c>
      <c r="C412" s="15" t="s">
        <v>1759</v>
      </c>
      <c r="D412" s="24" t="s">
        <v>1758</v>
      </c>
      <c r="E412" s="24" t="s">
        <v>1760</v>
      </c>
      <c r="F412" s="24" t="s">
        <v>38</v>
      </c>
      <c r="G412" s="15" t="s">
        <v>52</v>
      </c>
      <c r="H412" s="15" t="s">
        <v>52</v>
      </c>
      <c r="I412" s="15" t="s">
        <v>221</v>
      </c>
      <c r="J412" s="15" t="s">
        <v>1351</v>
      </c>
      <c r="K412" s="15" t="s">
        <v>223</v>
      </c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7"/>
      <c r="X412" s="17"/>
      <c r="Y412" s="17"/>
      <c r="Z412" s="17"/>
    </row>
    <row r="413" ht="15.75" customHeight="1">
      <c r="A413" s="24" t="s">
        <v>340</v>
      </c>
      <c r="B413" s="24" t="s">
        <v>1761</v>
      </c>
      <c r="C413" s="15" t="s">
        <v>1761</v>
      </c>
      <c r="D413" s="24" t="s">
        <v>1762</v>
      </c>
      <c r="E413" s="27" t="s">
        <v>1763</v>
      </c>
      <c r="F413" s="27" t="s">
        <v>278</v>
      </c>
      <c r="G413" s="15"/>
      <c r="H413" s="15" t="s">
        <v>1764</v>
      </c>
      <c r="I413" s="15" t="s">
        <v>221</v>
      </c>
      <c r="J413" s="15" t="s">
        <v>222</v>
      </c>
      <c r="K413" s="15" t="s">
        <v>223</v>
      </c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7"/>
      <c r="X413" s="17"/>
      <c r="Y413" s="17"/>
      <c r="Z413" s="17"/>
    </row>
    <row r="414" ht="15.75" customHeight="1">
      <c r="A414" s="24" t="s">
        <v>340</v>
      </c>
      <c r="B414" s="24" t="s">
        <v>1765</v>
      </c>
      <c r="C414" s="15" t="s">
        <v>1765</v>
      </c>
      <c r="D414" s="24" t="s">
        <v>1762</v>
      </c>
      <c r="E414" s="27" t="s">
        <v>1766</v>
      </c>
      <c r="F414" s="27" t="s">
        <v>278</v>
      </c>
      <c r="G414" s="15"/>
      <c r="H414" s="15" t="s">
        <v>1764</v>
      </c>
      <c r="I414" s="15" t="s">
        <v>221</v>
      </c>
      <c r="J414" s="15" t="s">
        <v>222</v>
      </c>
      <c r="K414" s="15" t="s">
        <v>223</v>
      </c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7"/>
      <c r="X414" s="17"/>
      <c r="Y414" s="17"/>
      <c r="Z414" s="17"/>
    </row>
    <row r="415" ht="15.75" customHeight="1">
      <c r="A415" s="24" t="s">
        <v>340</v>
      </c>
      <c r="B415" s="24" t="s">
        <v>1768</v>
      </c>
      <c r="C415" s="15" t="s">
        <v>1768</v>
      </c>
      <c r="D415" s="24" t="s">
        <v>1762</v>
      </c>
      <c r="E415" s="27" t="s">
        <v>1769</v>
      </c>
      <c r="F415" s="27" t="s">
        <v>278</v>
      </c>
      <c r="G415" s="15"/>
      <c r="H415" s="15" t="s">
        <v>1764</v>
      </c>
      <c r="I415" s="15" t="s">
        <v>221</v>
      </c>
      <c r="J415" s="15" t="s">
        <v>222</v>
      </c>
      <c r="K415" s="15" t="s">
        <v>223</v>
      </c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7"/>
      <c r="X415" s="17"/>
      <c r="Y415" s="17"/>
      <c r="Z415" s="17"/>
    </row>
    <row r="416" ht="15.75" customHeight="1">
      <c r="A416" s="24" t="s">
        <v>340</v>
      </c>
      <c r="B416" s="24" t="s">
        <v>1770</v>
      </c>
      <c r="C416" s="15" t="s">
        <v>1770</v>
      </c>
      <c r="D416" s="24" t="s">
        <v>1762</v>
      </c>
      <c r="E416" s="27" t="s">
        <v>1771</v>
      </c>
      <c r="F416" s="27" t="s">
        <v>278</v>
      </c>
      <c r="G416" s="15"/>
      <c r="H416" s="15" t="s">
        <v>1764</v>
      </c>
      <c r="I416" s="15" t="s">
        <v>221</v>
      </c>
      <c r="J416" s="15" t="s">
        <v>222</v>
      </c>
      <c r="K416" s="15" t="s">
        <v>223</v>
      </c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7"/>
      <c r="X416" s="17"/>
      <c r="Y416" s="17"/>
      <c r="Z416" s="17"/>
    </row>
    <row r="417" ht="15.75" customHeight="1">
      <c r="A417" s="24" t="s">
        <v>340</v>
      </c>
      <c r="B417" s="24" t="s">
        <v>1772</v>
      </c>
      <c r="C417" s="15" t="s">
        <v>1772</v>
      </c>
      <c r="D417" s="24" t="s">
        <v>1762</v>
      </c>
      <c r="E417" s="27" t="s">
        <v>1773</v>
      </c>
      <c r="F417" s="27" t="s">
        <v>278</v>
      </c>
      <c r="G417" s="15"/>
      <c r="H417" s="15" t="s">
        <v>1764</v>
      </c>
      <c r="I417" s="15" t="s">
        <v>221</v>
      </c>
      <c r="J417" s="15" t="s">
        <v>222</v>
      </c>
      <c r="K417" s="15" t="s">
        <v>223</v>
      </c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7"/>
      <c r="X417" s="17"/>
      <c r="Y417" s="17"/>
      <c r="Z417" s="17"/>
    </row>
    <row r="418" ht="15.75" customHeight="1">
      <c r="A418" s="24" t="s">
        <v>547</v>
      </c>
      <c r="B418" s="24" t="s">
        <v>1774</v>
      </c>
      <c r="C418" s="15" t="s">
        <v>1774</v>
      </c>
      <c r="D418" s="24" t="s">
        <v>1775</v>
      </c>
      <c r="E418" s="27" t="s">
        <v>1775</v>
      </c>
      <c r="F418" s="27" t="s">
        <v>278</v>
      </c>
      <c r="G418" s="15"/>
      <c r="H418" s="15" t="s">
        <v>1764</v>
      </c>
      <c r="I418" s="15" t="s">
        <v>221</v>
      </c>
      <c r="J418" s="15" t="s">
        <v>222</v>
      </c>
      <c r="K418" s="15" t="s">
        <v>223</v>
      </c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7"/>
      <c r="X418" s="17"/>
      <c r="Y418" s="17"/>
      <c r="Z418" s="17"/>
    </row>
    <row r="419" ht="15.75" customHeight="1">
      <c r="A419" s="24" t="s">
        <v>547</v>
      </c>
      <c r="B419" s="24" t="s">
        <v>1778</v>
      </c>
      <c r="C419" s="15" t="s">
        <v>1778</v>
      </c>
      <c r="D419" s="24" t="s">
        <v>1775</v>
      </c>
      <c r="E419" s="27" t="s">
        <v>1775</v>
      </c>
      <c r="F419" s="27" t="s">
        <v>278</v>
      </c>
      <c r="G419" s="15"/>
      <c r="H419" s="15" t="s">
        <v>1764</v>
      </c>
      <c r="I419" s="15" t="s">
        <v>221</v>
      </c>
      <c r="J419" s="15" t="s">
        <v>222</v>
      </c>
      <c r="K419" s="15" t="s">
        <v>223</v>
      </c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7"/>
      <c r="X419" s="17"/>
      <c r="Y419" s="17"/>
      <c r="Z419" s="17"/>
    </row>
    <row r="420" ht="15.75" customHeight="1">
      <c r="A420" s="24" t="s">
        <v>547</v>
      </c>
      <c r="B420" s="24" t="s">
        <v>1779</v>
      </c>
      <c r="C420" s="15" t="s">
        <v>1779</v>
      </c>
      <c r="D420" s="24" t="s">
        <v>1775</v>
      </c>
      <c r="E420" s="27" t="s">
        <v>1775</v>
      </c>
      <c r="F420" s="27" t="s">
        <v>278</v>
      </c>
      <c r="G420" s="15"/>
      <c r="H420" s="15" t="s">
        <v>1764</v>
      </c>
      <c r="I420" s="15" t="s">
        <v>221</v>
      </c>
      <c r="J420" s="15" t="s">
        <v>222</v>
      </c>
      <c r="K420" s="15" t="s">
        <v>223</v>
      </c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7"/>
      <c r="X420" s="17"/>
      <c r="Y420" s="17"/>
      <c r="Z420" s="17"/>
    </row>
    <row r="421" ht="15.75" customHeight="1">
      <c r="A421" s="24" t="s">
        <v>547</v>
      </c>
      <c r="B421" s="24" t="s">
        <v>1780</v>
      </c>
      <c r="C421" s="15" t="s">
        <v>1780</v>
      </c>
      <c r="D421" s="24" t="s">
        <v>1781</v>
      </c>
      <c r="E421" s="27" t="s">
        <v>1783</v>
      </c>
      <c r="F421" s="27" t="s">
        <v>278</v>
      </c>
      <c r="G421" s="15" t="s">
        <v>1784</v>
      </c>
      <c r="H421" s="15" t="s">
        <v>1764</v>
      </c>
      <c r="I421" s="15" t="s">
        <v>221</v>
      </c>
      <c r="J421" s="15" t="s">
        <v>222</v>
      </c>
      <c r="K421" s="15" t="s">
        <v>223</v>
      </c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7"/>
      <c r="X421" s="17"/>
      <c r="Y421" s="17"/>
      <c r="Z421" s="17"/>
    </row>
    <row r="422" ht="15.75" customHeight="1">
      <c r="A422" s="24" t="s">
        <v>1674</v>
      </c>
      <c r="B422" s="24" t="s">
        <v>1785</v>
      </c>
      <c r="C422" s="15" t="s">
        <v>1785</v>
      </c>
      <c r="D422" s="24" t="s">
        <v>1786</v>
      </c>
      <c r="E422" s="27" t="s">
        <v>1787</v>
      </c>
      <c r="F422" s="27" t="s">
        <v>278</v>
      </c>
      <c r="G422" s="15" t="s">
        <v>1788</v>
      </c>
      <c r="H422" s="15" t="s">
        <v>1789</v>
      </c>
      <c r="I422" s="15" t="s">
        <v>41</v>
      </c>
      <c r="J422" s="15" t="s">
        <v>1790</v>
      </c>
      <c r="K422" s="15" t="s">
        <v>85</v>
      </c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7"/>
      <c r="X422" s="17"/>
      <c r="Y422" s="17"/>
      <c r="Z422" s="17"/>
    </row>
    <row r="423" ht="15.75" customHeight="1">
      <c r="A423" s="24" t="s">
        <v>1674</v>
      </c>
      <c r="B423" s="24" t="s">
        <v>1791</v>
      </c>
      <c r="C423" s="15" t="s">
        <v>1792</v>
      </c>
      <c r="D423" s="24" t="s">
        <v>1786</v>
      </c>
      <c r="E423" s="24" t="s">
        <v>1791</v>
      </c>
      <c r="F423" s="24" t="s">
        <v>38</v>
      </c>
      <c r="G423" s="15" t="s">
        <v>1788</v>
      </c>
      <c r="H423" s="15" t="s">
        <v>1789</v>
      </c>
      <c r="I423" s="15" t="s">
        <v>41</v>
      </c>
      <c r="J423" s="15" t="s">
        <v>1790</v>
      </c>
      <c r="K423" s="15" t="s">
        <v>85</v>
      </c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7"/>
      <c r="X423" s="17"/>
      <c r="Y423" s="17"/>
      <c r="Z423" s="17"/>
    </row>
    <row r="424" ht="15.75" customHeight="1">
      <c r="A424" s="24" t="s">
        <v>1793</v>
      </c>
      <c r="B424" s="24" t="s">
        <v>89</v>
      </c>
      <c r="C424" s="15" t="s">
        <v>91</v>
      </c>
      <c r="D424" s="24" t="s">
        <v>1794</v>
      </c>
      <c r="E424" s="24" t="s">
        <v>1271</v>
      </c>
      <c r="F424" s="24" t="s">
        <v>94</v>
      </c>
      <c r="G424" s="15" t="s">
        <v>91</v>
      </c>
      <c r="H424" s="15" t="s">
        <v>1273</v>
      </c>
      <c r="I424" s="15" t="s">
        <v>41</v>
      </c>
      <c r="J424" s="15" t="s">
        <v>1269</v>
      </c>
      <c r="K424" s="15" t="s">
        <v>98</v>
      </c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7"/>
      <c r="X424" s="17"/>
      <c r="Y424" s="17"/>
      <c r="Z424" s="17"/>
    </row>
    <row r="425" ht="15.75" customHeight="1">
      <c r="A425" s="24" t="s">
        <v>1795</v>
      </c>
      <c r="B425" s="24" t="s">
        <v>89</v>
      </c>
      <c r="C425" s="15" t="s">
        <v>91</v>
      </c>
      <c r="D425" s="24" t="s">
        <v>1796</v>
      </c>
      <c r="E425" s="24" t="s">
        <v>1691</v>
      </c>
      <c r="F425" s="24" t="s">
        <v>94</v>
      </c>
      <c r="G425" s="15" t="s">
        <v>91</v>
      </c>
      <c r="H425" s="15" t="s">
        <v>1692</v>
      </c>
      <c r="I425" s="15" t="s">
        <v>41</v>
      </c>
      <c r="J425" s="15" t="s">
        <v>1689</v>
      </c>
      <c r="K425" s="15" t="s">
        <v>98</v>
      </c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7"/>
      <c r="X425" s="17"/>
      <c r="Y425" s="17"/>
      <c r="Z425" s="17"/>
    </row>
    <row r="426" ht="15.75" customHeight="1">
      <c r="A426" s="15" t="s">
        <v>350</v>
      </c>
      <c r="B426" s="15" t="s">
        <v>351</v>
      </c>
      <c r="C426" s="15" t="s">
        <v>352</v>
      </c>
      <c r="D426" s="15" t="s">
        <v>407</v>
      </c>
      <c r="E426" s="15" t="s">
        <v>351</v>
      </c>
      <c r="F426" s="15" t="s">
        <v>38</v>
      </c>
      <c r="G426" s="15" t="s">
        <v>52</v>
      </c>
      <c r="H426" s="15" t="s">
        <v>346</v>
      </c>
      <c r="I426" s="15" t="s">
        <v>41</v>
      </c>
      <c r="J426" s="15" t="s">
        <v>347</v>
      </c>
      <c r="K426" s="15" t="s">
        <v>85</v>
      </c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7"/>
      <c r="X426" s="17"/>
      <c r="Y426" s="17"/>
      <c r="Z426" s="17"/>
    </row>
    <row r="427" ht="15.75" customHeight="1">
      <c r="A427" s="15" t="s">
        <v>350</v>
      </c>
      <c r="B427" s="15" t="s">
        <v>362</v>
      </c>
      <c r="C427" s="15" t="s">
        <v>363</v>
      </c>
      <c r="D427" s="15" t="s">
        <v>362</v>
      </c>
      <c r="E427" s="15" t="s">
        <v>365</v>
      </c>
      <c r="F427" s="15" t="s">
        <v>38</v>
      </c>
      <c r="G427" s="15" t="s">
        <v>52</v>
      </c>
      <c r="H427" s="15" t="s">
        <v>366</v>
      </c>
      <c r="I427" s="15" t="s">
        <v>41</v>
      </c>
      <c r="J427" s="15" t="s">
        <v>368</v>
      </c>
      <c r="K427" s="15" t="s">
        <v>85</v>
      </c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7"/>
      <c r="X427" s="17"/>
      <c r="Y427" s="17"/>
      <c r="Z427" s="17"/>
    </row>
    <row r="428" ht="15.75" customHeight="1">
      <c r="A428" s="24" t="s">
        <v>547</v>
      </c>
      <c r="B428" s="24" t="s">
        <v>1799</v>
      </c>
      <c r="C428" s="15" t="s">
        <v>1800</v>
      </c>
      <c r="D428" s="24" t="s">
        <v>1801</v>
      </c>
      <c r="E428" s="24" t="s">
        <v>1802</v>
      </c>
      <c r="F428" s="24" t="s">
        <v>38</v>
      </c>
      <c r="G428" s="15" t="s">
        <v>52</v>
      </c>
      <c r="H428" s="15" t="s">
        <v>1764</v>
      </c>
      <c r="I428" s="15" t="s">
        <v>221</v>
      </c>
      <c r="J428" s="15" t="s">
        <v>222</v>
      </c>
      <c r="K428" s="15" t="s">
        <v>223</v>
      </c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7"/>
      <c r="X428" s="17"/>
      <c r="Y428" s="17"/>
      <c r="Z428" s="17"/>
    </row>
    <row r="429" ht="15.75" customHeight="1">
      <c r="A429" s="24" t="s">
        <v>696</v>
      </c>
      <c r="B429" s="24" t="s">
        <v>922</v>
      </c>
      <c r="C429" s="15"/>
      <c r="D429" s="24" t="s">
        <v>922</v>
      </c>
      <c r="E429" s="26" t="s">
        <v>923</v>
      </c>
      <c r="F429" s="26" t="s">
        <v>1641</v>
      </c>
      <c r="G429" s="21" t="s">
        <v>1784</v>
      </c>
      <c r="H429" s="15" t="s">
        <v>1764</v>
      </c>
      <c r="I429" s="15" t="s">
        <v>221</v>
      </c>
      <c r="J429" s="15" t="s">
        <v>222</v>
      </c>
      <c r="K429" s="15" t="s">
        <v>223</v>
      </c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7"/>
      <c r="X429" s="17"/>
      <c r="Y429" s="17"/>
      <c r="Z429" s="17"/>
    </row>
    <row r="430" ht="15.75" customHeight="1">
      <c r="A430" s="24" t="s">
        <v>696</v>
      </c>
      <c r="B430" s="24" t="s">
        <v>1804</v>
      </c>
      <c r="C430" s="15"/>
      <c r="D430" s="24" t="s">
        <v>1804</v>
      </c>
      <c r="E430" s="26" t="s">
        <v>1805</v>
      </c>
      <c r="F430" s="26" t="s">
        <v>1641</v>
      </c>
      <c r="G430" s="21" t="s">
        <v>1784</v>
      </c>
      <c r="H430" s="15" t="s">
        <v>1764</v>
      </c>
      <c r="I430" s="15" t="s">
        <v>221</v>
      </c>
      <c r="J430" s="15" t="s">
        <v>222</v>
      </c>
      <c r="K430" s="15" t="s">
        <v>223</v>
      </c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7"/>
      <c r="X430" s="17"/>
      <c r="Y430" s="17"/>
      <c r="Z430" s="17"/>
    </row>
    <row r="431" ht="15.75" customHeight="1">
      <c r="A431" s="24" t="s">
        <v>696</v>
      </c>
      <c r="B431" s="24" t="s">
        <v>1806</v>
      </c>
      <c r="C431" s="15"/>
      <c r="D431" s="24" t="s">
        <v>1806</v>
      </c>
      <c r="E431" s="26" t="s">
        <v>1807</v>
      </c>
      <c r="F431" s="26" t="s">
        <v>1641</v>
      </c>
      <c r="G431" s="21" t="s">
        <v>1784</v>
      </c>
      <c r="H431" s="15" t="s">
        <v>1764</v>
      </c>
      <c r="I431" s="15" t="s">
        <v>221</v>
      </c>
      <c r="J431" s="15" t="s">
        <v>222</v>
      </c>
      <c r="K431" s="15" t="s">
        <v>223</v>
      </c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7"/>
      <c r="X431" s="17"/>
      <c r="Y431" s="17"/>
      <c r="Z431" s="17"/>
    </row>
    <row r="432" ht="15.75" customHeight="1">
      <c r="A432" s="24" t="s">
        <v>696</v>
      </c>
      <c r="B432" s="24" t="s">
        <v>1808</v>
      </c>
      <c r="C432" s="15"/>
      <c r="D432" s="24" t="s">
        <v>1808</v>
      </c>
      <c r="E432" s="26" t="s">
        <v>1809</v>
      </c>
      <c r="F432" s="26" t="s">
        <v>1641</v>
      </c>
      <c r="G432" s="21" t="s">
        <v>1784</v>
      </c>
      <c r="H432" s="15" t="s">
        <v>1764</v>
      </c>
      <c r="I432" s="15" t="s">
        <v>221</v>
      </c>
      <c r="J432" s="15" t="s">
        <v>222</v>
      </c>
      <c r="K432" s="15" t="s">
        <v>223</v>
      </c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7"/>
      <c r="X432" s="17"/>
      <c r="Y432" s="17"/>
      <c r="Z432" s="17"/>
    </row>
    <row r="433" ht="15.75" customHeight="1">
      <c r="A433" s="24" t="s">
        <v>214</v>
      </c>
      <c r="B433" s="24" t="s">
        <v>1810</v>
      </c>
      <c r="C433" s="15" t="s">
        <v>1527</v>
      </c>
      <c r="D433" s="24" t="s">
        <v>1429</v>
      </c>
      <c r="E433" s="26" t="s">
        <v>1810</v>
      </c>
      <c r="F433" s="26" t="s">
        <v>1641</v>
      </c>
      <c r="G433" s="21" t="s">
        <v>1784</v>
      </c>
      <c r="H433" s="15" t="s">
        <v>1764</v>
      </c>
      <c r="I433" s="15" t="s">
        <v>221</v>
      </c>
      <c r="J433" s="15" t="s">
        <v>222</v>
      </c>
      <c r="K433" s="15" t="s">
        <v>223</v>
      </c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7"/>
      <c r="X433" s="17"/>
      <c r="Y433" s="17"/>
      <c r="Z433" s="17"/>
    </row>
    <row r="434" ht="15.75" customHeight="1">
      <c r="A434" s="24" t="s">
        <v>214</v>
      </c>
      <c r="B434" s="24" t="s">
        <v>1813</v>
      </c>
      <c r="C434" s="15" t="s">
        <v>1527</v>
      </c>
      <c r="D434" s="24" t="s">
        <v>1429</v>
      </c>
      <c r="E434" s="26" t="s">
        <v>1813</v>
      </c>
      <c r="F434" s="26" t="s">
        <v>1641</v>
      </c>
      <c r="G434" s="21" t="s">
        <v>1784</v>
      </c>
      <c r="H434" s="15" t="s">
        <v>1764</v>
      </c>
      <c r="I434" s="15" t="s">
        <v>221</v>
      </c>
      <c r="J434" s="15" t="s">
        <v>222</v>
      </c>
      <c r="K434" s="15" t="s">
        <v>223</v>
      </c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7"/>
      <c r="X434" s="17"/>
      <c r="Y434" s="17"/>
      <c r="Z434" s="17"/>
    </row>
    <row r="435" ht="15.75" customHeight="1">
      <c r="A435" s="24" t="s">
        <v>214</v>
      </c>
      <c r="B435" s="24" t="s">
        <v>1814</v>
      </c>
      <c r="C435" s="15" t="s">
        <v>1527</v>
      </c>
      <c r="D435" s="24" t="s">
        <v>1815</v>
      </c>
      <c r="E435" s="26" t="s">
        <v>1814</v>
      </c>
      <c r="F435" s="26" t="s">
        <v>1641</v>
      </c>
      <c r="G435" s="21" t="s">
        <v>1784</v>
      </c>
      <c r="H435" s="15" t="s">
        <v>1764</v>
      </c>
      <c r="I435" s="15" t="s">
        <v>221</v>
      </c>
      <c r="J435" s="15" t="s">
        <v>222</v>
      </c>
      <c r="K435" s="15" t="s">
        <v>223</v>
      </c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7"/>
      <c r="X435" s="17"/>
      <c r="Y435" s="17"/>
      <c r="Z435" s="17"/>
    </row>
    <row r="436" ht="15.75" customHeight="1">
      <c r="A436" s="24" t="s">
        <v>370</v>
      </c>
      <c r="B436" s="24" t="s">
        <v>1816</v>
      </c>
      <c r="C436" s="15"/>
      <c r="D436" s="24" t="s">
        <v>1816</v>
      </c>
      <c r="E436" s="26" t="s">
        <v>1817</v>
      </c>
      <c r="F436" s="26" t="s">
        <v>1641</v>
      </c>
      <c r="G436" s="21" t="s">
        <v>1784</v>
      </c>
      <c r="H436" s="15" t="s">
        <v>1764</v>
      </c>
      <c r="I436" s="15" t="s">
        <v>221</v>
      </c>
      <c r="J436" s="15" t="s">
        <v>222</v>
      </c>
      <c r="K436" s="15" t="s">
        <v>223</v>
      </c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7"/>
      <c r="X436" s="17"/>
      <c r="Y436" s="17"/>
      <c r="Z436" s="17"/>
    </row>
    <row r="437" ht="15.75" customHeight="1">
      <c r="A437" s="24" t="s">
        <v>1674</v>
      </c>
      <c r="B437" s="24" t="s">
        <v>1818</v>
      </c>
      <c r="C437" s="15" t="s">
        <v>1527</v>
      </c>
      <c r="D437" s="24" t="s">
        <v>1819</v>
      </c>
      <c r="E437" s="26" t="s">
        <v>1818</v>
      </c>
      <c r="F437" s="26" t="s">
        <v>1641</v>
      </c>
      <c r="G437" s="21" t="s">
        <v>1784</v>
      </c>
      <c r="H437" s="15" t="s">
        <v>1764</v>
      </c>
      <c r="I437" s="15" t="s">
        <v>221</v>
      </c>
      <c r="J437" s="15" t="s">
        <v>222</v>
      </c>
      <c r="K437" s="15" t="s">
        <v>223</v>
      </c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7"/>
      <c r="X437" s="17"/>
      <c r="Y437" s="17"/>
      <c r="Z437" s="17"/>
    </row>
    <row r="438" ht="15.75" customHeight="1">
      <c r="A438" s="24" t="s">
        <v>1674</v>
      </c>
      <c r="B438" s="24" t="s">
        <v>1820</v>
      </c>
      <c r="C438" s="15" t="s">
        <v>1821</v>
      </c>
      <c r="D438" s="24" t="s">
        <v>1822</v>
      </c>
      <c r="E438" s="24" t="s">
        <v>1820</v>
      </c>
      <c r="F438" s="24" t="s">
        <v>38</v>
      </c>
      <c r="G438" s="15" t="s">
        <v>1823</v>
      </c>
      <c r="H438" s="15" t="s">
        <v>1764</v>
      </c>
      <c r="I438" s="15" t="s">
        <v>221</v>
      </c>
      <c r="J438" s="15" t="s">
        <v>222</v>
      </c>
      <c r="K438" s="15" t="s">
        <v>223</v>
      </c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7"/>
      <c r="X438" s="17"/>
      <c r="Y438" s="17"/>
      <c r="Z438" s="17"/>
    </row>
    <row r="439" ht="15.75" customHeight="1">
      <c r="A439" s="24" t="s">
        <v>483</v>
      </c>
      <c r="B439" s="24" t="s">
        <v>1824</v>
      </c>
      <c r="C439" s="15" t="s">
        <v>1825</v>
      </c>
      <c r="D439" s="24" t="s">
        <v>1824</v>
      </c>
      <c r="E439" s="24" t="s">
        <v>1798</v>
      </c>
      <c r="F439" s="24" t="s">
        <v>38</v>
      </c>
      <c r="G439" s="15" t="s">
        <v>52</v>
      </c>
      <c r="H439" s="15" t="s">
        <v>1803</v>
      </c>
      <c r="I439" s="15" t="s">
        <v>41</v>
      </c>
      <c r="J439" s="15" t="s">
        <v>1797</v>
      </c>
      <c r="K439" s="15" t="s">
        <v>85</v>
      </c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7"/>
      <c r="X439" s="17"/>
      <c r="Y439" s="17"/>
      <c r="Z439" s="17"/>
    </row>
    <row r="440" ht="15.75" customHeight="1">
      <c r="A440" s="24" t="s">
        <v>483</v>
      </c>
      <c r="B440" s="24" t="s">
        <v>1826</v>
      </c>
      <c r="C440" s="15" t="s">
        <v>1827</v>
      </c>
      <c r="D440" s="24" t="s">
        <v>1826</v>
      </c>
      <c r="E440" s="24" t="s">
        <v>1828</v>
      </c>
      <c r="F440" s="24" t="s">
        <v>38</v>
      </c>
      <c r="G440" s="15" t="s">
        <v>52</v>
      </c>
      <c r="H440" s="15" t="s">
        <v>1829</v>
      </c>
      <c r="I440" s="15" t="s">
        <v>41</v>
      </c>
      <c r="J440" s="15" t="s">
        <v>1830</v>
      </c>
      <c r="K440" s="15" t="s">
        <v>223</v>
      </c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7"/>
      <c r="X440" s="17"/>
      <c r="Y440" s="17"/>
      <c r="Z440" s="17"/>
    </row>
    <row r="441" ht="15.75" customHeight="1">
      <c r="A441" s="15" t="s">
        <v>473</v>
      </c>
      <c r="B441" s="15" t="s">
        <v>1246</v>
      </c>
      <c r="C441" s="15" t="s">
        <v>1246</v>
      </c>
      <c r="D441" s="15" t="s">
        <v>1566</v>
      </c>
      <c r="E441" s="22" t="s">
        <v>1247</v>
      </c>
      <c r="F441" s="22" t="s">
        <v>278</v>
      </c>
      <c r="G441" s="15" t="s">
        <v>217</v>
      </c>
      <c r="H441" s="15" t="s">
        <v>1223</v>
      </c>
      <c r="I441" s="15" t="s">
        <v>41</v>
      </c>
      <c r="J441" s="16" t="s">
        <v>1224</v>
      </c>
      <c r="K441" s="15" t="s">
        <v>223</v>
      </c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7"/>
      <c r="X441" s="17"/>
      <c r="Y441" s="17"/>
      <c r="Z441" s="17"/>
    </row>
    <row r="442" ht="15.75" customHeight="1">
      <c r="A442" s="15" t="s">
        <v>47</v>
      </c>
      <c r="B442" s="15" t="s">
        <v>1831</v>
      </c>
      <c r="C442" s="15" t="s">
        <v>1832</v>
      </c>
      <c r="D442" s="15" t="s">
        <v>1833</v>
      </c>
      <c r="E442" s="15" t="s">
        <v>1831</v>
      </c>
      <c r="F442" s="15" t="s">
        <v>38</v>
      </c>
      <c r="G442" s="15" t="s">
        <v>52</v>
      </c>
      <c r="H442" s="20" t="s">
        <v>1834</v>
      </c>
      <c r="I442" s="20" t="s">
        <v>221</v>
      </c>
      <c r="J442" s="15" t="s">
        <v>222</v>
      </c>
      <c r="K442" s="15" t="s">
        <v>223</v>
      </c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7"/>
      <c r="X442" s="17"/>
      <c r="Y442" s="17"/>
      <c r="Z442" s="17"/>
    </row>
    <row r="443" ht="15.75" customHeight="1">
      <c r="A443" s="24" t="s">
        <v>1171</v>
      </c>
      <c r="B443" s="24" t="s">
        <v>1835</v>
      </c>
      <c r="C443" s="15" t="s">
        <v>1836</v>
      </c>
      <c r="D443" s="24" t="s">
        <v>1659</v>
      </c>
      <c r="E443" s="24" t="s">
        <v>1837</v>
      </c>
      <c r="F443" s="24" t="s">
        <v>38</v>
      </c>
      <c r="G443" s="15" t="s">
        <v>52</v>
      </c>
      <c r="H443" s="20" t="s">
        <v>1838</v>
      </c>
      <c r="I443" s="20" t="s">
        <v>221</v>
      </c>
      <c r="J443" s="15" t="s">
        <v>222</v>
      </c>
      <c r="K443" s="15" t="s">
        <v>223</v>
      </c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7"/>
      <c r="X443" s="17"/>
      <c r="Y443" s="17"/>
      <c r="Z443" s="17"/>
    </row>
    <row r="444" ht="15.75" customHeight="1">
      <c r="A444" s="24" t="s">
        <v>229</v>
      </c>
      <c r="B444" s="24" t="s">
        <v>1839</v>
      </c>
      <c r="C444" s="15" t="s">
        <v>1840</v>
      </c>
      <c r="D444" s="24" t="s">
        <v>1841</v>
      </c>
      <c r="E444" s="24" t="s">
        <v>1839</v>
      </c>
      <c r="F444" s="24" t="s">
        <v>38</v>
      </c>
      <c r="G444" s="15" t="s">
        <v>1842</v>
      </c>
      <c r="H444" s="20" t="s">
        <v>1843</v>
      </c>
      <c r="I444" s="20" t="s">
        <v>221</v>
      </c>
      <c r="J444" s="15" t="s">
        <v>222</v>
      </c>
      <c r="K444" s="15" t="s">
        <v>223</v>
      </c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7"/>
      <c r="X444" s="17"/>
      <c r="Y444" s="17"/>
      <c r="Z444" s="17"/>
    </row>
    <row r="445" ht="15.75" customHeight="1">
      <c r="A445" s="24" t="s">
        <v>350</v>
      </c>
      <c r="B445" s="24" t="s">
        <v>1844</v>
      </c>
      <c r="C445" s="15" t="s">
        <v>1845</v>
      </c>
      <c r="D445" s="24" t="s">
        <v>1844</v>
      </c>
      <c r="E445" s="24" t="s">
        <v>1846</v>
      </c>
      <c r="F445" s="24" t="s">
        <v>38</v>
      </c>
      <c r="G445" s="15" t="s">
        <v>52</v>
      </c>
      <c r="H445" s="20" t="s">
        <v>1847</v>
      </c>
      <c r="I445" s="20" t="s">
        <v>221</v>
      </c>
      <c r="J445" s="15" t="s">
        <v>222</v>
      </c>
      <c r="K445" s="15" t="s">
        <v>223</v>
      </c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7"/>
      <c r="X445" s="17"/>
      <c r="Y445" s="17"/>
      <c r="Z445" s="17"/>
    </row>
    <row r="446" ht="15.75" customHeight="1">
      <c r="A446" s="24" t="s">
        <v>473</v>
      </c>
      <c r="B446" s="24" t="s">
        <v>1848</v>
      </c>
      <c r="C446" s="15" t="s">
        <v>1848</v>
      </c>
      <c r="D446" s="24" t="s">
        <v>1749</v>
      </c>
      <c r="E446" s="27" t="s">
        <v>1849</v>
      </c>
      <c r="F446" s="27" t="s">
        <v>278</v>
      </c>
      <c r="G446" s="15" t="s">
        <v>52</v>
      </c>
      <c r="H446" s="20" t="s">
        <v>1850</v>
      </c>
      <c r="I446" s="20" t="s">
        <v>221</v>
      </c>
      <c r="J446" s="15" t="s">
        <v>222</v>
      </c>
      <c r="K446" s="15" t="s">
        <v>223</v>
      </c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7"/>
      <c r="X446" s="17"/>
      <c r="Y446" s="17"/>
      <c r="Z446" s="17"/>
    </row>
    <row r="447" ht="15.75" customHeight="1">
      <c r="A447" s="24" t="s">
        <v>1171</v>
      </c>
      <c r="B447" s="24" t="s">
        <v>1851</v>
      </c>
      <c r="C447" s="15" t="s">
        <v>1852</v>
      </c>
      <c r="D447" s="24" t="s">
        <v>1659</v>
      </c>
      <c r="E447" s="24" t="s">
        <v>1853</v>
      </c>
      <c r="F447" s="24" t="s">
        <v>38</v>
      </c>
      <c r="G447" s="15" t="s">
        <v>52</v>
      </c>
      <c r="H447" s="20" t="s">
        <v>1854</v>
      </c>
      <c r="I447" s="20" t="s">
        <v>221</v>
      </c>
      <c r="J447" s="15" t="s">
        <v>222</v>
      </c>
      <c r="K447" s="15" t="s">
        <v>223</v>
      </c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7"/>
      <c r="X447" s="17"/>
      <c r="Y447" s="17"/>
      <c r="Z447" s="17"/>
    </row>
    <row r="448" ht="15.75" customHeight="1">
      <c r="A448" s="24" t="s">
        <v>473</v>
      </c>
      <c r="B448" s="24" t="s">
        <v>89</v>
      </c>
      <c r="C448" s="15" t="s">
        <v>91</v>
      </c>
      <c r="D448" s="24" t="s">
        <v>1855</v>
      </c>
      <c r="E448" s="24" t="s">
        <v>1777</v>
      </c>
      <c r="F448" s="24" t="s">
        <v>94</v>
      </c>
      <c r="G448" s="15" t="s">
        <v>91</v>
      </c>
      <c r="H448" s="15" t="s">
        <v>1782</v>
      </c>
      <c r="I448" s="15" t="s">
        <v>41</v>
      </c>
      <c r="J448" s="15" t="s">
        <v>1776</v>
      </c>
      <c r="K448" s="15" t="s">
        <v>98</v>
      </c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7"/>
      <c r="X448" s="17"/>
      <c r="Y448" s="17"/>
      <c r="Z448" s="17"/>
    </row>
    <row r="449" ht="15.75" customHeight="1">
      <c r="A449" s="24" t="s">
        <v>473</v>
      </c>
      <c r="B449" s="24" t="s">
        <v>89</v>
      </c>
      <c r="C449" s="15" t="s">
        <v>91</v>
      </c>
      <c r="D449" s="24" t="s">
        <v>391</v>
      </c>
      <c r="E449" s="24" t="s">
        <v>681</v>
      </c>
      <c r="F449" s="24" t="s">
        <v>94</v>
      </c>
      <c r="G449" s="15" t="s">
        <v>91</v>
      </c>
      <c r="H449" s="15" t="s">
        <v>689</v>
      </c>
      <c r="I449" s="15" t="s">
        <v>41</v>
      </c>
      <c r="J449" s="15" t="s">
        <v>679</v>
      </c>
      <c r="K449" s="15" t="s">
        <v>98</v>
      </c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7"/>
      <c r="X449" s="17"/>
      <c r="Y449" s="17"/>
      <c r="Z449" s="17"/>
    </row>
    <row r="450" ht="15.75" customHeight="1">
      <c r="A450" s="24" t="s">
        <v>473</v>
      </c>
      <c r="B450" s="24" t="s">
        <v>1856</v>
      </c>
      <c r="C450" s="15" t="s">
        <v>1856</v>
      </c>
      <c r="D450" s="24" t="s">
        <v>1857</v>
      </c>
      <c r="E450" s="27" t="s">
        <v>1858</v>
      </c>
      <c r="F450" s="27" t="s">
        <v>278</v>
      </c>
      <c r="G450" s="15" t="s">
        <v>1859</v>
      </c>
      <c r="H450" s="15" t="s">
        <v>1140</v>
      </c>
      <c r="I450" s="15" t="s">
        <v>41</v>
      </c>
      <c r="J450" s="15" t="s">
        <v>1130</v>
      </c>
      <c r="K450" s="15" t="s">
        <v>85</v>
      </c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7"/>
      <c r="X450" s="17"/>
      <c r="Y450" s="17"/>
      <c r="Z450" s="17"/>
    </row>
    <row r="451" ht="15.75" customHeight="1">
      <c r="A451" s="24" t="s">
        <v>473</v>
      </c>
      <c r="B451" s="24" t="s">
        <v>1860</v>
      </c>
      <c r="C451" s="15" t="s">
        <v>1860</v>
      </c>
      <c r="D451" s="24" t="s">
        <v>1857</v>
      </c>
      <c r="E451" s="27" t="s">
        <v>1861</v>
      </c>
      <c r="F451" s="27" t="s">
        <v>278</v>
      </c>
      <c r="G451" s="15" t="s">
        <v>1859</v>
      </c>
      <c r="H451" s="15" t="s">
        <v>1140</v>
      </c>
      <c r="I451" s="15" t="s">
        <v>41</v>
      </c>
      <c r="J451" s="15" t="s">
        <v>1130</v>
      </c>
      <c r="K451" s="15" t="s">
        <v>85</v>
      </c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7"/>
      <c r="X451" s="17"/>
      <c r="Y451" s="17"/>
      <c r="Z451" s="17"/>
    </row>
    <row r="452" ht="15.75" customHeight="1">
      <c r="A452" s="24" t="s">
        <v>473</v>
      </c>
      <c r="B452" s="24" t="s">
        <v>1862</v>
      </c>
      <c r="C452" s="15" t="s">
        <v>1862</v>
      </c>
      <c r="D452" s="24" t="s">
        <v>1857</v>
      </c>
      <c r="E452" s="27" t="s">
        <v>1863</v>
      </c>
      <c r="F452" s="27" t="s">
        <v>278</v>
      </c>
      <c r="G452" s="15" t="s">
        <v>1859</v>
      </c>
      <c r="H452" s="15" t="s">
        <v>1140</v>
      </c>
      <c r="I452" s="15" t="s">
        <v>41</v>
      </c>
      <c r="J452" s="15" t="s">
        <v>1130</v>
      </c>
      <c r="K452" s="15" t="s">
        <v>85</v>
      </c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7"/>
      <c r="X452" s="17"/>
      <c r="Y452" s="17"/>
      <c r="Z452" s="17"/>
    </row>
    <row r="453" ht="15.75" customHeight="1">
      <c r="A453" s="24" t="s">
        <v>473</v>
      </c>
      <c r="B453" s="24" t="s">
        <v>1864</v>
      </c>
      <c r="C453" s="15" t="s">
        <v>1864</v>
      </c>
      <c r="D453" s="24" t="s">
        <v>1857</v>
      </c>
      <c r="E453" s="27" t="s">
        <v>1865</v>
      </c>
      <c r="F453" s="27" t="s">
        <v>278</v>
      </c>
      <c r="G453" s="15" t="s">
        <v>1859</v>
      </c>
      <c r="H453" s="15" t="s">
        <v>1140</v>
      </c>
      <c r="I453" s="15" t="s">
        <v>41</v>
      </c>
      <c r="J453" s="15" t="s">
        <v>1130</v>
      </c>
      <c r="K453" s="15" t="s">
        <v>85</v>
      </c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7"/>
      <c r="X453" s="17"/>
      <c r="Y453" s="17"/>
      <c r="Z453" s="17"/>
    </row>
    <row r="454" ht="15.75" customHeight="1">
      <c r="A454" s="24" t="s">
        <v>473</v>
      </c>
      <c r="B454" s="24" t="s">
        <v>1866</v>
      </c>
      <c r="C454" s="15" t="s">
        <v>1866</v>
      </c>
      <c r="D454" s="24" t="s">
        <v>1857</v>
      </c>
      <c r="E454" s="27" t="s">
        <v>1867</v>
      </c>
      <c r="F454" s="27" t="s">
        <v>278</v>
      </c>
      <c r="G454" s="15" t="s">
        <v>1859</v>
      </c>
      <c r="H454" s="15" t="s">
        <v>1140</v>
      </c>
      <c r="I454" s="15" t="s">
        <v>41</v>
      </c>
      <c r="J454" s="15" t="s">
        <v>1130</v>
      </c>
      <c r="K454" s="15" t="s">
        <v>85</v>
      </c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7"/>
      <c r="X454" s="17"/>
      <c r="Y454" s="17"/>
      <c r="Z454" s="17"/>
    </row>
    <row r="455" ht="15.75" customHeight="1">
      <c r="A455" s="24" t="s">
        <v>473</v>
      </c>
      <c r="B455" s="24" t="s">
        <v>1868</v>
      </c>
      <c r="C455" s="15" t="s">
        <v>1868</v>
      </c>
      <c r="D455" s="24" t="s">
        <v>1857</v>
      </c>
      <c r="E455" s="27" t="s">
        <v>1869</v>
      </c>
      <c r="F455" s="27" t="s">
        <v>278</v>
      </c>
      <c r="G455" s="15" t="s">
        <v>1859</v>
      </c>
      <c r="H455" s="15" t="s">
        <v>1870</v>
      </c>
      <c r="I455" s="15" t="s">
        <v>41</v>
      </c>
      <c r="J455" s="15" t="s">
        <v>1130</v>
      </c>
      <c r="K455" s="15" t="s">
        <v>223</v>
      </c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7"/>
      <c r="X455" s="17"/>
      <c r="Y455" s="17"/>
      <c r="Z455" s="17"/>
    </row>
    <row r="456" ht="15.75" customHeight="1">
      <c r="A456" s="24" t="s">
        <v>473</v>
      </c>
      <c r="B456" s="24" t="s">
        <v>1871</v>
      </c>
      <c r="C456" s="15" t="s">
        <v>1871</v>
      </c>
      <c r="D456" s="24" t="s">
        <v>1872</v>
      </c>
      <c r="E456" s="27" t="s">
        <v>1873</v>
      </c>
      <c r="F456" s="27" t="s">
        <v>278</v>
      </c>
      <c r="G456" s="15" t="s">
        <v>1859</v>
      </c>
      <c r="H456" s="15" t="s">
        <v>1140</v>
      </c>
      <c r="I456" s="15" t="s">
        <v>41</v>
      </c>
      <c r="J456" s="15" t="s">
        <v>1130</v>
      </c>
      <c r="K456" s="15" t="s">
        <v>85</v>
      </c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7"/>
      <c r="X456" s="17"/>
      <c r="Y456" s="17"/>
      <c r="Z456" s="17"/>
    </row>
    <row r="457" ht="15.75" customHeight="1">
      <c r="A457" s="24" t="s">
        <v>473</v>
      </c>
      <c r="B457" s="24" t="s">
        <v>1874</v>
      </c>
      <c r="C457" s="15" t="s">
        <v>1874</v>
      </c>
      <c r="D457" s="24" t="s">
        <v>1875</v>
      </c>
      <c r="E457" s="27" t="s">
        <v>1876</v>
      </c>
      <c r="F457" s="27" t="s">
        <v>278</v>
      </c>
      <c r="G457" s="15" t="s">
        <v>1859</v>
      </c>
      <c r="H457" s="15" t="s">
        <v>1140</v>
      </c>
      <c r="I457" s="15" t="s">
        <v>41</v>
      </c>
      <c r="J457" s="15" t="s">
        <v>1130</v>
      </c>
      <c r="K457" s="15" t="s">
        <v>85</v>
      </c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7"/>
      <c r="X457" s="17"/>
      <c r="Y457" s="17"/>
      <c r="Z457" s="17"/>
    </row>
    <row r="458" ht="15.75" customHeight="1">
      <c r="A458" s="24" t="s">
        <v>473</v>
      </c>
      <c r="B458" s="24" t="s">
        <v>1749</v>
      </c>
      <c r="C458" s="15" t="s">
        <v>1877</v>
      </c>
      <c r="D458" s="24" t="s">
        <v>1749</v>
      </c>
      <c r="E458" s="24" t="s">
        <v>1878</v>
      </c>
      <c r="F458" s="24" t="s">
        <v>38</v>
      </c>
      <c r="G458" s="15" t="s">
        <v>1859</v>
      </c>
      <c r="H458" s="15" t="s">
        <v>1140</v>
      </c>
      <c r="I458" s="15" t="s">
        <v>41</v>
      </c>
      <c r="J458" s="15" t="s">
        <v>1130</v>
      </c>
      <c r="K458" s="15" t="s">
        <v>85</v>
      </c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7"/>
      <c r="X458" s="17"/>
      <c r="Y458" s="17"/>
      <c r="Z458" s="17"/>
    </row>
    <row r="459" ht="15.75" customHeight="1">
      <c r="A459" s="24" t="s">
        <v>473</v>
      </c>
      <c r="B459" s="24" t="s">
        <v>1879</v>
      </c>
      <c r="C459" s="15" t="s">
        <v>1880</v>
      </c>
      <c r="D459" s="24" t="s">
        <v>1879</v>
      </c>
      <c r="E459" s="24" t="s">
        <v>281</v>
      </c>
      <c r="F459" s="24" t="s">
        <v>38</v>
      </c>
      <c r="G459" s="15" t="s">
        <v>1881</v>
      </c>
      <c r="H459" s="15" t="s">
        <v>1882</v>
      </c>
      <c r="I459" s="15" t="s">
        <v>41</v>
      </c>
      <c r="J459" s="15" t="s">
        <v>279</v>
      </c>
      <c r="K459" s="16" t="s">
        <v>1883</v>
      </c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7"/>
      <c r="X459" s="17"/>
      <c r="Y459" s="17"/>
      <c r="Z459" s="17"/>
    </row>
    <row r="460" ht="15.75" customHeight="1">
      <c r="A460" s="24" t="s">
        <v>473</v>
      </c>
      <c r="B460" s="24" t="s">
        <v>89</v>
      </c>
      <c r="C460" s="15" t="s">
        <v>91</v>
      </c>
      <c r="D460" s="24" t="s">
        <v>1879</v>
      </c>
      <c r="E460" s="24" t="s">
        <v>281</v>
      </c>
      <c r="F460" s="24" t="s">
        <v>94</v>
      </c>
      <c r="G460" s="15" t="s">
        <v>91</v>
      </c>
      <c r="H460" s="15" t="s">
        <v>289</v>
      </c>
      <c r="I460" s="15" t="s">
        <v>41</v>
      </c>
      <c r="J460" s="15" t="s">
        <v>279</v>
      </c>
      <c r="K460" s="15" t="s">
        <v>98</v>
      </c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7"/>
      <c r="X460" s="17"/>
      <c r="Y460" s="17"/>
      <c r="Z460" s="17"/>
    </row>
    <row r="461" ht="15.75" customHeight="1">
      <c r="A461" s="24" t="s">
        <v>473</v>
      </c>
      <c r="B461" s="24" t="s">
        <v>89</v>
      </c>
      <c r="C461" s="15" t="s">
        <v>91</v>
      </c>
      <c r="D461" s="24" t="s">
        <v>1879</v>
      </c>
      <c r="E461" s="24" t="s">
        <v>298</v>
      </c>
      <c r="F461" s="24" t="s">
        <v>94</v>
      </c>
      <c r="G461" s="15" t="s">
        <v>91</v>
      </c>
      <c r="H461" s="15" t="s">
        <v>300</v>
      </c>
      <c r="I461" s="15" t="s">
        <v>41</v>
      </c>
      <c r="J461" s="15" t="s">
        <v>279</v>
      </c>
      <c r="K461" s="15" t="s">
        <v>98</v>
      </c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7"/>
      <c r="X461" s="17"/>
      <c r="Y461" s="17"/>
      <c r="Z461" s="17"/>
    </row>
    <row r="462" ht="15.75" customHeight="1">
      <c r="A462" s="24" t="s">
        <v>473</v>
      </c>
      <c r="B462" s="24" t="s">
        <v>89</v>
      </c>
      <c r="C462" s="15" t="s">
        <v>91</v>
      </c>
      <c r="D462" s="24" t="s">
        <v>1884</v>
      </c>
      <c r="E462" s="24" t="s">
        <v>1063</v>
      </c>
      <c r="F462" s="24" t="s">
        <v>94</v>
      </c>
      <c r="G462" s="15" t="s">
        <v>91</v>
      </c>
      <c r="H462" s="15" t="s">
        <v>1072</v>
      </c>
      <c r="I462" s="15" t="s">
        <v>41</v>
      </c>
      <c r="J462" s="15" t="s">
        <v>1061</v>
      </c>
      <c r="K462" s="15" t="s">
        <v>98</v>
      </c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7"/>
      <c r="X462" s="17"/>
      <c r="Y462" s="17"/>
      <c r="Z462" s="17"/>
    </row>
    <row r="463" ht="15.75" customHeight="1">
      <c r="A463" s="24" t="s">
        <v>473</v>
      </c>
      <c r="B463" s="24" t="s">
        <v>89</v>
      </c>
      <c r="C463" s="15" t="s">
        <v>91</v>
      </c>
      <c r="D463" s="24" t="s">
        <v>1885</v>
      </c>
      <c r="E463" s="24" t="s">
        <v>90</v>
      </c>
      <c r="F463" s="24" t="s">
        <v>94</v>
      </c>
      <c r="G463" s="15" t="s">
        <v>91</v>
      </c>
      <c r="H463" s="15" t="s">
        <v>108</v>
      </c>
      <c r="I463" s="15" t="s">
        <v>41</v>
      </c>
      <c r="J463" s="15" t="s">
        <v>87</v>
      </c>
      <c r="K463" s="15" t="s">
        <v>98</v>
      </c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7"/>
      <c r="X463" s="17"/>
      <c r="Y463" s="17"/>
      <c r="Z463" s="17"/>
    </row>
    <row r="464" ht="15.75" customHeight="1">
      <c r="A464" s="24" t="s">
        <v>473</v>
      </c>
      <c r="B464" s="24" t="s">
        <v>89</v>
      </c>
      <c r="C464" s="15" t="s">
        <v>91</v>
      </c>
      <c r="D464" s="24" t="s">
        <v>1886</v>
      </c>
      <c r="E464" s="24" t="s">
        <v>1887</v>
      </c>
      <c r="F464" s="24" t="s">
        <v>94</v>
      </c>
      <c r="G464" s="15" t="s">
        <v>91</v>
      </c>
      <c r="H464" s="15" t="s">
        <v>1888</v>
      </c>
      <c r="I464" s="15" t="s">
        <v>41</v>
      </c>
      <c r="J464" s="15" t="s">
        <v>1889</v>
      </c>
      <c r="K464" s="15" t="s">
        <v>98</v>
      </c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7"/>
      <c r="X464" s="17"/>
      <c r="Y464" s="17"/>
      <c r="Z464" s="17"/>
    </row>
    <row r="465" ht="15.75" customHeight="1">
      <c r="A465" s="24" t="s">
        <v>473</v>
      </c>
      <c r="B465" s="24" t="s">
        <v>1890</v>
      </c>
      <c r="C465" s="15" t="s">
        <v>1891</v>
      </c>
      <c r="D465" s="24" t="s">
        <v>1890</v>
      </c>
      <c r="E465" s="24" t="s">
        <v>138</v>
      </c>
      <c r="F465" s="24" t="s">
        <v>38</v>
      </c>
      <c r="G465" s="15" t="s">
        <v>1892</v>
      </c>
      <c r="H465" s="15" t="s">
        <v>1893</v>
      </c>
      <c r="I465" s="15" t="s">
        <v>41</v>
      </c>
      <c r="J465" s="15" t="s">
        <v>133</v>
      </c>
      <c r="K465" s="15" t="s">
        <v>223</v>
      </c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7"/>
      <c r="X465" s="17"/>
      <c r="Y465" s="17"/>
      <c r="Z465" s="17"/>
    </row>
    <row r="466" ht="15.75" customHeight="1">
      <c r="A466" s="24" t="s">
        <v>473</v>
      </c>
      <c r="B466" s="24" t="s">
        <v>89</v>
      </c>
      <c r="C466" s="15" t="s">
        <v>91</v>
      </c>
      <c r="D466" s="24" t="s">
        <v>1890</v>
      </c>
      <c r="E466" s="24" t="s">
        <v>138</v>
      </c>
      <c r="F466" s="24" t="s">
        <v>94</v>
      </c>
      <c r="G466" s="15" t="s">
        <v>91</v>
      </c>
      <c r="H466" s="15" t="s">
        <v>150</v>
      </c>
      <c r="I466" s="15" t="s">
        <v>41</v>
      </c>
      <c r="J466" s="15" t="s">
        <v>133</v>
      </c>
      <c r="K466" s="15" t="s">
        <v>98</v>
      </c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7"/>
      <c r="X466" s="17"/>
      <c r="Y466" s="17"/>
      <c r="Z466" s="17"/>
    </row>
    <row r="467" ht="15.75" customHeight="1">
      <c r="A467" s="24" t="s">
        <v>473</v>
      </c>
      <c r="B467" s="24" t="s">
        <v>89</v>
      </c>
      <c r="C467" s="15" t="s">
        <v>91</v>
      </c>
      <c r="D467" s="24" t="s">
        <v>1890</v>
      </c>
      <c r="E467" s="24" t="s">
        <v>1894</v>
      </c>
      <c r="F467" s="24" t="s">
        <v>94</v>
      </c>
      <c r="G467" s="15" t="s">
        <v>91</v>
      </c>
      <c r="H467" s="15" t="s">
        <v>1895</v>
      </c>
      <c r="I467" s="15" t="s">
        <v>41</v>
      </c>
      <c r="J467" s="15" t="s">
        <v>1896</v>
      </c>
      <c r="K467" s="15" t="s">
        <v>98</v>
      </c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7"/>
      <c r="X467" s="17"/>
      <c r="Y467" s="17"/>
      <c r="Z467" s="17"/>
    </row>
    <row r="468" ht="15.75" customHeight="1">
      <c r="A468" s="24" t="s">
        <v>473</v>
      </c>
      <c r="B468" s="24" t="s">
        <v>89</v>
      </c>
      <c r="C468" s="15" t="s">
        <v>91</v>
      </c>
      <c r="D468" s="24" t="s">
        <v>1890</v>
      </c>
      <c r="E468" s="24" t="s">
        <v>1897</v>
      </c>
      <c r="F468" s="24" t="s">
        <v>94</v>
      </c>
      <c r="G468" s="15" t="s">
        <v>91</v>
      </c>
      <c r="H468" s="15" t="s">
        <v>1898</v>
      </c>
      <c r="I468" s="15" t="s">
        <v>41</v>
      </c>
      <c r="J468" s="15" t="s">
        <v>1899</v>
      </c>
      <c r="K468" s="15" t="s">
        <v>98</v>
      </c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7"/>
      <c r="X468" s="17"/>
      <c r="Y468" s="17"/>
      <c r="Z468" s="17"/>
    </row>
    <row r="469" ht="15.75" customHeight="1">
      <c r="A469" s="24" t="s">
        <v>1900</v>
      </c>
      <c r="B469" s="24" t="s">
        <v>89</v>
      </c>
      <c r="C469" s="15" t="s">
        <v>91</v>
      </c>
      <c r="D469" s="24" t="s">
        <v>1901</v>
      </c>
      <c r="E469" s="24" t="s">
        <v>1902</v>
      </c>
      <c r="F469" s="24" t="s">
        <v>94</v>
      </c>
      <c r="G469" s="15" t="s">
        <v>91</v>
      </c>
      <c r="H469" s="15" t="s">
        <v>1903</v>
      </c>
      <c r="I469" s="15" t="s">
        <v>41</v>
      </c>
      <c r="J469" s="15" t="s">
        <v>1904</v>
      </c>
      <c r="K469" s="15" t="s">
        <v>98</v>
      </c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7"/>
      <c r="X469" s="17"/>
      <c r="Y469" s="17"/>
      <c r="Z469" s="17"/>
    </row>
    <row r="470" ht="15.75" customHeight="1">
      <c r="A470" s="24" t="s">
        <v>1900</v>
      </c>
      <c r="B470" s="24" t="s">
        <v>89</v>
      </c>
      <c r="C470" s="15" t="s">
        <v>91</v>
      </c>
      <c r="D470" s="24" t="s">
        <v>1905</v>
      </c>
      <c r="E470" s="24" t="s">
        <v>554</v>
      </c>
      <c r="F470" s="24" t="s">
        <v>94</v>
      </c>
      <c r="G470" s="15" t="s">
        <v>91</v>
      </c>
      <c r="H470" s="15" t="s">
        <v>561</v>
      </c>
      <c r="I470" s="15" t="s">
        <v>41</v>
      </c>
      <c r="J470" s="15" t="s">
        <v>551</v>
      </c>
      <c r="K470" s="15" t="s">
        <v>98</v>
      </c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7"/>
      <c r="X470" s="17"/>
      <c r="Y470" s="17"/>
      <c r="Z470" s="17"/>
    </row>
    <row r="471" ht="15.75" customHeight="1">
      <c r="A471" s="24" t="s">
        <v>1906</v>
      </c>
      <c r="B471" s="24" t="s">
        <v>89</v>
      </c>
      <c r="C471" s="15" t="s">
        <v>91</v>
      </c>
      <c r="D471" s="24" t="s">
        <v>1907</v>
      </c>
      <c r="E471" s="24" t="s">
        <v>1908</v>
      </c>
      <c r="F471" s="24" t="s">
        <v>94</v>
      </c>
      <c r="G471" s="15" t="s">
        <v>91</v>
      </c>
      <c r="H471" s="15" t="s">
        <v>1909</v>
      </c>
      <c r="I471" s="15" t="s">
        <v>41</v>
      </c>
      <c r="J471" s="15" t="s">
        <v>1910</v>
      </c>
      <c r="K471" s="15" t="s">
        <v>98</v>
      </c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7"/>
      <c r="X471" s="17"/>
      <c r="Y471" s="17"/>
      <c r="Z471" s="17"/>
    </row>
    <row r="472" ht="15.75" customHeight="1">
      <c r="A472" s="15" t="s">
        <v>1911</v>
      </c>
      <c r="B472" s="15" t="s">
        <v>89</v>
      </c>
      <c r="C472" s="15" t="s">
        <v>91</v>
      </c>
      <c r="D472" s="15" t="s">
        <v>1912</v>
      </c>
      <c r="E472" s="15" t="s">
        <v>28</v>
      </c>
      <c r="F472" s="15" t="s">
        <v>94</v>
      </c>
      <c r="G472" s="15" t="s">
        <v>91</v>
      </c>
      <c r="H472" s="15" t="s">
        <v>35</v>
      </c>
      <c r="I472" s="15" t="s">
        <v>41</v>
      </c>
      <c r="J472" s="15" t="s">
        <v>26</v>
      </c>
      <c r="K472" s="15" t="s">
        <v>98</v>
      </c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7"/>
      <c r="X472" s="17"/>
      <c r="Y472" s="17"/>
      <c r="Z472" s="17"/>
    </row>
    <row r="473" ht="15.75" customHeight="1">
      <c r="A473" s="15" t="s">
        <v>1911</v>
      </c>
      <c r="B473" s="15" t="s">
        <v>89</v>
      </c>
      <c r="C473" s="15" t="s">
        <v>91</v>
      </c>
      <c r="D473" s="15" t="s">
        <v>1913</v>
      </c>
      <c r="E473" s="15" t="s">
        <v>1914</v>
      </c>
      <c r="F473" s="15" t="s">
        <v>94</v>
      </c>
      <c r="G473" s="15" t="s">
        <v>91</v>
      </c>
      <c r="H473" s="15" t="s">
        <v>1915</v>
      </c>
      <c r="I473" s="15" t="s">
        <v>41</v>
      </c>
      <c r="J473" s="15" t="s">
        <v>1917</v>
      </c>
      <c r="K473" s="15" t="s">
        <v>98</v>
      </c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7"/>
      <c r="X473" s="17"/>
      <c r="Y473" s="17"/>
      <c r="Z473" s="17"/>
    </row>
    <row r="474" ht="15.75" customHeight="1">
      <c r="A474" s="15" t="s">
        <v>1911</v>
      </c>
      <c r="B474" s="15" t="s">
        <v>89</v>
      </c>
      <c r="C474" s="15" t="s">
        <v>91</v>
      </c>
      <c r="D474" s="15" t="s">
        <v>1918</v>
      </c>
      <c r="E474" s="15" t="s">
        <v>345</v>
      </c>
      <c r="F474" s="15" t="s">
        <v>94</v>
      </c>
      <c r="G474" s="15" t="s">
        <v>91</v>
      </c>
      <c r="H474" s="15" t="s">
        <v>349</v>
      </c>
      <c r="I474" s="15" t="s">
        <v>41</v>
      </c>
      <c r="J474" s="15" t="s">
        <v>344</v>
      </c>
      <c r="K474" s="15" t="s">
        <v>98</v>
      </c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7"/>
      <c r="X474" s="17"/>
      <c r="Y474" s="17"/>
      <c r="Z474" s="17"/>
    </row>
    <row r="475" ht="15.75" customHeight="1">
      <c r="A475" s="15" t="s">
        <v>1911</v>
      </c>
      <c r="B475" s="15" t="s">
        <v>89</v>
      </c>
      <c r="C475" s="15" t="s">
        <v>91</v>
      </c>
      <c r="D475" s="15" t="s">
        <v>1808</v>
      </c>
      <c r="E475" s="15" t="s">
        <v>1809</v>
      </c>
      <c r="F475" s="15" t="s">
        <v>94</v>
      </c>
      <c r="G475" s="15" t="s">
        <v>91</v>
      </c>
      <c r="H475" s="15" t="s">
        <v>1919</v>
      </c>
      <c r="I475" s="15" t="s">
        <v>41</v>
      </c>
      <c r="J475" s="15" t="s">
        <v>1920</v>
      </c>
      <c r="K475" s="15" t="s">
        <v>98</v>
      </c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7"/>
      <c r="X475" s="17"/>
      <c r="Y475" s="17"/>
      <c r="Z475" s="17"/>
    </row>
    <row r="476" ht="15.75" customHeight="1">
      <c r="A476" s="15" t="s">
        <v>1911</v>
      </c>
      <c r="B476" s="15" t="s">
        <v>89</v>
      </c>
      <c r="C476" s="15" t="s">
        <v>91</v>
      </c>
      <c r="D476" s="15" t="s">
        <v>1007</v>
      </c>
      <c r="E476" s="15" t="s">
        <v>1921</v>
      </c>
      <c r="F476" s="15" t="s">
        <v>94</v>
      </c>
      <c r="G476" s="15" t="s">
        <v>91</v>
      </c>
      <c r="H476" s="15" t="s">
        <v>1922</v>
      </c>
      <c r="I476" s="15" t="s">
        <v>41</v>
      </c>
      <c r="J476" s="15" t="s">
        <v>1923</v>
      </c>
      <c r="K476" s="15" t="s">
        <v>98</v>
      </c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7"/>
      <c r="X476" s="17"/>
      <c r="Y476" s="17"/>
      <c r="Z476" s="17"/>
    </row>
    <row r="477" ht="15.75" customHeight="1">
      <c r="A477" s="15" t="s">
        <v>1911</v>
      </c>
      <c r="B477" s="15" t="s">
        <v>89</v>
      </c>
      <c r="C477" s="15" t="s">
        <v>91</v>
      </c>
      <c r="D477" s="15" t="s">
        <v>1507</v>
      </c>
      <c r="E477" s="15" t="s">
        <v>1244</v>
      </c>
      <c r="F477" s="15" t="s">
        <v>94</v>
      </c>
      <c r="G477" s="15" t="s">
        <v>91</v>
      </c>
      <c r="H477" s="15" t="s">
        <v>1249</v>
      </c>
      <c r="I477" s="15" t="s">
        <v>41</v>
      </c>
      <c r="J477" s="15" t="s">
        <v>1242</v>
      </c>
      <c r="K477" s="15" t="s">
        <v>98</v>
      </c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7"/>
      <c r="X477" s="17"/>
      <c r="Y477" s="17"/>
      <c r="Z477" s="17"/>
    </row>
    <row r="478" ht="15.75" customHeight="1">
      <c r="A478" s="15" t="s">
        <v>1911</v>
      </c>
      <c r="B478" s="15" t="s">
        <v>89</v>
      </c>
      <c r="C478" s="15" t="s">
        <v>91</v>
      </c>
      <c r="D478" s="15" t="s">
        <v>1924</v>
      </c>
      <c r="E478" s="15" t="s">
        <v>1925</v>
      </c>
      <c r="F478" s="15" t="s">
        <v>94</v>
      </c>
      <c r="G478" s="15" t="s">
        <v>91</v>
      </c>
      <c r="H478" s="15" t="s">
        <v>1926</v>
      </c>
      <c r="I478" s="15" t="s">
        <v>41</v>
      </c>
      <c r="J478" s="16" t="s">
        <v>1927</v>
      </c>
      <c r="K478" s="15" t="s">
        <v>98</v>
      </c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7"/>
      <c r="X478" s="17"/>
      <c r="Y478" s="17"/>
      <c r="Z478" s="17"/>
    </row>
    <row r="479" ht="15.75" customHeight="1">
      <c r="A479" s="15" t="s">
        <v>1911</v>
      </c>
      <c r="B479" s="15" t="s">
        <v>89</v>
      </c>
      <c r="C479" s="15" t="s">
        <v>91</v>
      </c>
      <c r="D479" s="15" t="s">
        <v>1924</v>
      </c>
      <c r="E479" s="15" t="s">
        <v>1929</v>
      </c>
      <c r="F479" s="15" t="s">
        <v>94</v>
      </c>
      <c r="G479" s="15" t="s">
        <v>91</v>
      </c>
      <c r="H479" s="15" t="s">
        <v>1930</v>
      </c>
      <c r="I479" s="15" t="s">
        <v>41</v>
      </c>
      <c r="J479" s="15" t="s">
        <v>1931</v>
      </c>
      <c r="K479" s="15" t="s">
        <v>98</v>
      </c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7"/>
      <c r="X479" s="17"/>
      <c r="Y479" s="17"/>
      <c r="Z479" s="17"/>
    </row>
    <row r="480" ht="15.75" customHeight="1">
      <c r="A480" s="15" t="s">
        <v>1911</v>
      </c>
      <c r="B480" s="15" t="s">
        <v>89</v>
      </c>
      <c r="C480" s="15" t="s">
        <v>91</v>
      </c>
      <c r="D480" s="15" t="s">
        <v>1932</v>
      </c>
      <c r="E480" s="15" t="s">
        <v>1933</v>
      </c>
      <c r="F480" s="15" t="s">
        <v>94</v>
      </c>
      <c r="G480" s="15" t="s">
        <v>91</v>
      </c>
      <c r="H480" s="15" t="s">
        <v>1934</v>
      </c>
      <c r="I480" s="15" t="s">
        <v>41</v>
      </c>
      <c r="J480" s="15" t="s">
        <v>1935</v>
      </c>
      <c r="K480" s="15" t="s">
        <v>98</v>
      </c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7"/>
      <c r="X480" s="17"/>
      <c r="Y480" s="17"/>
      <c r="Z480" s="17"/>
    </row>
    <row r="481" ht="15.75" customHeight="1">
      <c r="A481" s="15" t="s">
        <v>1911</v>
      </c>
      <c r="B481" s="15" t="s">
        <v>89</v>
      </c>
      <c r="C481" s="15" t="s">
        <v>91</v>
      </c>
      <c r="D481" s="15" t="s">
        <v>1936</v>
      </c>
      <c r="E481" s="15" t="s">
        <v>1937</v>
      </c>
      <c r="F481" s="15" t="s">
        <v>94</v>
      </c>
      <c r="G481" s="15" t="s">
        <v>91</v>
      </c>
      <c r="H481" s="15" t="s">
        <v>1938</v>
      </c>
      <c r="I481" s="15" t="s">
        <v>41</v>
      </c>
      <c r="J481" s="15" t="s">
        <v>1939</v>
      </c>
      <c r="K481" s="15" t="s">
        <v>98</v>
      </c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7"/>
      <c r="X481" s="17"/>
      <c r="Y481" s="17"/>
      <c r="Z481" s="17"/>
    </row>
    <row r="482" ht="15.75" customHeight="1">
      <c r="A482" s="15" t="s">
        <v>1911</v>
      </c>
      <c r="B482" s="15" t="s">
        <v>89</v>
      </c>
      <c r="C482" s="15" t="s">
        <v>91</v>
      </c>
      <c r="D482" s="15" t="s">
        <v>1173</v>
      </c>
      <c r="E482" s="15" t="s">
        <v>1940</v>
      </c>
      <c r="F482" s="15" t="s">
        <v>94</v>
      </c>
      <c r="G482" s="15" t="s">
        <v>91</v>
      </c>
      <c r="H482" s="15" t="s">
        <v>1941</v>
      </c>
      <c r="I482" s="15" t="s">
        <v>41</v>
      </c>
      <c r="J482" s="15" t="s">
        <v>1942</v>
      </c>
      <c r="K482" s="15" t="s">
        <v>98</v>
      </c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7"/>
      <c r="X482" s="17"/>
      <c r="Y482" s="17"/>
      <c r="Z482" s="17"/>
    </row>
    <row r="483" ht="15.75" customHeight="1">
      <c r="A483" s="15" t="s">
        <v>1911</v>
      </c>
      <c r="B483" s="15" t="s">
        <v>89</v>
      </c>
      <c r="C483" s="15" t="s">
        <v>91</v>
      </c>
      <c r="D483" s="15" t="s">
        <v>1943</v>
      </c>
      <c r="E483" s="15" t="s">
        <v>1944</v>
      </c>
      <c r="F483" s="15" t="s">
        <v>94</v>
      </c>
      <c r="G483" s="15" t="s">
        <v>91</v>
      </c>
      <c r="H483" s="15" t="s">
        <v>1945</v>
      </c>
      <c r="I483" s="15" t="s">
        <v>41</v>
      </c>
      <c r="J483" s="15" t="s">
        <v>1942</v>
      </c>
      <c r="K483" s="15" t="s">
        <v>98</v>
      </c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7"/>
      <c r="X483" s="17"/>
      <c r="Y483" s="17"/>
      <c r="Z483" s="17"/>
    </row>
    <row r="484" ht="15.75" customHeight="1">
      <c r="A484" s="15" t="s">
        <v>1911</v>
      </c>
      <c r="B484" s="15" t="s">
        <v>89</v>
      </c>
      <c r="C484" s="15" t="s">
        <v>91</v>
      </c>
      <c r="D484" s="15" t="s">
        <v>1946</v>
      </c>
      <c r="E484" s="15" t="s">
        <v>317</v>
      </c>
      <c r="F484" s="15" t="s">
        <v>94</v>
      </c>
      <c r="G484" s="15" t="s">
        <v>91</v>
      </c>
      <c r="H484" s="15" t="s">
        <v>328</v>
      </c>
      <c r="I484" s="15" t="s">
        <v>41</v>
      </c>
      <c r="J484" s="15" t="s">
        <v>316</v>
      </c>
      <c r="K484" s="15" t="s">
        <v>98</v>
      </c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7"/>
      <c r="X484" s="17"/>
      <c r="Y484" s="17"/>
      <c r="Z484" s="17"/>
    </row>
    <row r="485" ht="15.75" customHeight="1">
      <c r="A485" s="15" t="s">
        <v>1911</v>
      </c>
      <c r="B485" s="15" t="s">
        <v>89</v>
      </c>
      <c r="C485" s="15" t="s">
        <v>91</v>
      </c>
      <c r="D485" s="15" t="s">
        <v>1947</v>
      </c>
      <c r="E485" s="15" t="s">
        <v>160</v>
      </c>
      <c r="F485" s="15" t="s">
        <v>94</v>
      </c>
      <c r="G485" s="15" t="s">
        <v>91</v>
      </c>
      <c r="H485" s="15" t="s">
        <v>164</v>
      </c>
      <c r="I485" s="15" t="s">
        <v>41</v>
      </c>
      <c r="J485" s="15" t="s">
        <v>159</v>
      </c>
      <c r="K485" s="15" t="s">
        <v>98</v>
      </c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7"/>
      <c r="X485" s="17"/>
      <c r="Y485" s="17"/>
      <c r="Z485" s="17"/>
    </row>
    <row r="486" ht="15.75" customHeight="1">
      <c r="A486" s="15" t="s">
        <v>1911</v>
      </c>
      <c r="B486" s="15" t="s">
        <v>89</v>
      </c>
      <c r="C486" s="15" t="s">
        <v>91</v>
      </c>
      <c r="D486" s="15" t="s">
        <v>1948</v>
      </c>
      <c r="E486" s="15" t="s">
        <v>1949</v>
      </c>
      <c r="F486" s="15" t="s">
        <v>94</v>
      </c>
      <c r="G486" s="15" t="s">
        <v>91</v>
      </c>
      <c r="H486" s="15" t="s">
        <v>1950</v>
      </c>
      <c r="I486" s="15" t="s">
        <v>41</v>
      </c>
      <c r="J486" s="15" t="s">
        <v>1951</v>
      </c>
      <c r="K486" s="15" t="s">
        <v>98</v>
      </c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7"/>
      <c r="X486" s="17"/>
      <c r="Y486" s="17"/>
      <c r="Z486" s="17"/>
    </row>
    <row r="487" ht="15.75" customHeight="1">
      <c r="A487" s="15" t="s">
        <v>1911</v>
      </c>
      <c r="B487" s="15" t="s">
        <v>89</v>
      </c>
      <c r="C487" s="15" t="s">
        <v>91</v>
      </c>
      <c r="D487" s="15" t="s">
        <v>1007</v>
      </c>
      <c r="E487" s="15" t="s">
        <v>1952</v>
      </c>
      <c r="F487" s="15" t="s">
        <v>94</v>
      </c>
      <c r="G487" s="15" t="s">
        <v>91</v>
      </c>
      <c r="H487" s="15" t="s">
        <v>1953</v>
      </c>
      <c r="I487" s="15" t="s">
        <v>41</v>
      </c>
      <c r="J487" s="15" t="s">
        <v>1954</v>
      </c>
      <c r="K487" s="15" t="s">
        <v>98</v>
      </c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7"/>
      <c r="X487" s="17"/>
      <c r="Y487" s="17"/>
      <c r="Z487" s="17"/>
    </row>
    <row r="488" ht="15.75" customHeight="1">
      <c r="A488" s="15" t="s">
        <v>1911</v>
      </c>
      <c r="B488" s="15" t="s">
        <v>89</v>
      </c>
      <c r="C488" s="15" t="s">
        <v>91</v>
      </c>
      <c r="D488" s="15" t="s">
        <v>1955</v>
      </c>
      <c r="E488" s="15" t="s">
        <v>507</v>
      </c>
      <c r="F488" s="15" t="s">
        <v>94</v>
      </c>
      <c r="G488" s="15" t="s">
        <v>91</v>
      </c>
      <c r="H488" s="15" t="s">
        <v>512</v>
      </c>
      <c r="I488" s="15" t="s">
        <v>41</v>
      </c>
      <c r="J488" s="15" t="s">
        <v>506</v>
      </c>
      <c r="K488" s="15" t="s">
        <v>98</v>
      </c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7"/>
      <c r="X488" s="17"/>
      <c r="Y488" s="17"/>
      <c r="Z488" s="17"/>
    </row>
    <row r="489" ht="15.75" customHeight="1">
      <c r="A489" s="15" t="s">
        <v>1911</v>
      </c>
      <c r="B489" s="15" t="s">
        <v>89</v>
      </c>
      <c r="C489" s="15" t="s">
        <v>91</v>
      </c>
      <c r="D489" s="15" t="s">
        <v>1956</v>
      </c>
      <c r="E489" s="15" t="s">
        <v>1957</v>
      </c>
      <c r="F489" s="15" t="s">
        <v>94</v>
      </c>
      <c r="G489" s="15" t="s">
        <v>91</v>
      </c>
      <c r="H489" s="15" t="s">
        <v>1958</v>
      </c>
      <c r="I489" s="15" t="s">
        <v>41</v>
      </c>
      <c r="J489" s="15" t="s">
        <v>1959</v>
      </c>
      <c r="K489" s="15" t="s">
        <v>98</v>
      </c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7"/>
      <c r="X489" s="17"/>
      <c r="Y489" s="17"/>
      <c r="Z489" s="17"/>
    </row>
    <row r="490" ht="15.75" customHeight="1">
      <c r="A490" s="15" t="s">
        <v>1911</v>
      </c>
      <c r="B490" s="15" t="s">
        <v>89</v>
      </c>
      <c r="C490" s="15" t="s">
        <v>91</v>
      </c>
      <c r="D490" s="15" t="s">
        <v>1007</v>
      </c>
      <c r="E490" s="15" t="s">
        <v>1961</v>
      </c>
      <c r="F490" s="15" t="s">
        <v>94</v>
      </c>
      <c r="G490" s="15" t="s">
        <v>91</v>
      </c>
      <c r="H490" s="15" t="s">
        <v>1962</v>
      </c>
      <c r="I490" s="15" t="s">
        <v>41</v>
      </c>
      <c r="J490" s="15" t="s">
        <v>1963</v>
      </c>
      <c r="K490" s="15" t="s">
        <v>98</v>
      </c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7"/>
      <c r="X490" s="17"/>
      <c r="Y490" s="17"/>
      <c r="Z490" s="17"/>
    </row>
    <row r="491" ht="15.75" customHeight="1">
      <c r="A491" s="15" t="s">
        <v>1911</v>
      </c>
      <c r="B491" s="15" t="s">
        <v>89</v>
      </c>
      <c r="C491" s="15" t="s">
        <v>91</v>
      </c>
      <c r="D491" s="15" t="s">
        <v>1964</v>
      </c>
      <c r="E491" s="15" t="s">
        <v>1965</v>
      </c>
      <c r="F491" s="15" t="s">
        <v>94</v>
      </c>
      <c r="G491" s="15" t="s">
        <v>91</v>
      </c>
      <c r="H491" s="15" t="s">
        <v>1966</v>
      </c>
      <c r="I491" s="15" t="s">
        <v>41</v>
      </c>
      <c r="J491" s="15" t="s">
        <v>1967</v>
      </c>
      <c r="K491" s="15" t="s">
        <v>98</v>
      </c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7"/>
      <c r="X491" s="17"/>
      <c r="Y491" s="17"/>
      <c r="Z491" s="17"/>
    </row>
    <row r="492" ht="15.75" customHeight="1">
      <c r="A492" s="15" t="s">
        <v>1911</v>
      </c>
      <c r="B492" s="15" t="s">
        <v>89</v>
      </c>
      <c r="C492" s="15" t="s">
        <v>91</v>
      </c>
      <c r="D492" s="15" t="s">
        <v>1968</v>
      </c>
      <c r="E492" s="15" t="s">
        <v>1969</v>
      </c>
      <c r="F492" s="15" t="s">
        <v>94</v>
      </c>
      <c r="G492" s="15" t="s">
        <v>91</v>
      </c>
      <c r="H492" s="15" t="s">
        <v>1970</v>
      </c>
      <c r="I492" s="15" t="s">
        <v>41</v>
      </c>
      <c r="J492" s="15" t="s">
        <v>1971</v>
      </c>
      <c r="K492" s="15" t="s">
        <v>98</v>
      </c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7"/>
      <c r="X492" s="17"/>
      <c r="Y492" s="17"/>
      <c r="Z492" s="17"/>
    </row>
    <row r="493" ht="15.75" customHeight="1">
      <c r="A493" s="24" t="s">
        <v>1911</v>
      </c>
      <c r="B493" s="24" t="s">
        <v>89</v>
      </c>
      <c r="C493" s="15" t="s">
        <v>91</v>
      </c>
      <c r="D493" s="24" t="s">
        <v>1972</v>
      </c>
      <c r="E493" s="24" t="s">
        <v>45</v>
      </c>
      <c r="F493" s="24" t="s">
        <v>94</v>
      </c>
      <c r="G493" s="15" t="s">
        <v>91</v>
      </c>
      <c r="H493" s="15" t="s">
        <v>54</v>
      </c>
      <c r="I493" s="15" t="s">
        <v>41</v>
      </c>
      <c r="J493" s="15" t="s">
        <v>44</v>
      </c>
      <c r="K493" s="15" t="s">
        <v>98</v>
      </c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7"/>
      <c r="X493" s="17"/>
      <c r="Y493" s="17"/>
      <c r="Z493" s="17"/>
    </row>
    <row r="494" ht="15.75" customHeight="1">
      <c r="A494" s="24" t="s">
        <v>1911</v>
      </c>
      <c r="B494" s="24" t="s">
        <v>89</v>
      </c>
      <c r="C494" s="15" t="s">
        <v>91</v>
      </c>
      <c r="D494" s="24" t="s">
        <v>1973</v>
      </c>
      <c r="E494" s="24" t="s">
        <v>565</v>
      </c>
      <c r="F494" s="24" t="s">
        <v>94</v>
      </c>
      <c r="G494" s="15" t="s">
        <v>91</v>
      </c>
      <c r="H494" s="15" t="s">
        <v>572</v>
      </c>
      <c r="I494" s="15" t="s">
        <v>41</v>
      </c>
      <c r="J494" s="15" t="s">
        <v>563</v>
      </c>
      <c r="K494" s="15" t="s">
        <v>98</v>
      </c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7"/>
      <c r="X494" s="17"/>
      <c r="Y494" s="17"/>
      <c r="Z494" s="17"/>
    </row>
    <row r="495" ht="15.75" customHeight="1">
      <c r="A495" s="24" t="s">
        <v>1911</v>
      </c>
      <c r="B495" s="24" t="s">
        <v>89</v>
      </c>
      <c r="C495" s="15" t="s">
        <v>91</v>
      </c>
      <c r="D495" s="24" t="s">
        <v>1974</v>
      </c>
      <c r="E495" s="24" t="s">
        <v>578</v>
      </c>
      <c r="F495" s="24" t="s">
        <v>94</v>
      </c>
      <c r="G495" s="15" t="s">
        <v>91</v>
      </c>
      <c r="H495" s="15" t="s">
        <v>583</v>
      </c>
      <c r="I495" s="15" t="s">
        <v>41</v>
      </c>
      <c r="J495" s="15" t="s">
        <v>576</v>
      </c>
      <c r="K495" s="15" t="s">
        <v>98</v>
      </c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7"/>
      <c r="X495" s="17"/>
      <c r="Y495" s="17"/>
      <c r="Z495" s="17"/>
    </row>
    <row r="496" ht="15.75" customHeight="1">
      <c r="A496" s="24" t="s">
        <v>1911</v>
      </c>
      <c r="B496" s="24" t="s">
        <v>89</v>
      </c>
      <c r="C496" s="15" t="s">
        <v>91</v>
      </c>
      <c r="D496" s="24" t="s">
        <v>1532</v>
      </c>
      <c r="E496" s="24" t="s">
        <v>1535</v>
      </c>
      <c r="F496" s="24" t="s">
        <v>94</v>
      </c>
      <c r="G496" s="15" t="s">
        <v>91</v>
      </c>
      <c r="H496" s="15" t="s">
        <v>1540</v>
      </c>
      <c r="I496" s="15" t="s">
        <v>41</v>
      </c>
      <c r="J496" s="15" t="s">
        <v>1531</v>
      </c>
      <c r="K496" s="15" t="s">
        <v>98</v>
      </c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7"/>
      <c r="X496" s="17"/>
      <c r="Y496" s="17"/>
      <c r="Z496" s="17"/>
    </row>
    <row r="497" ht="15.75" customHeight="1">
      <c r="A497" s="24" t="s">
        <v>1911</v>
      </c>
      <c r="B497" s="24" t="s">
        <v>89</v>
      </c>
      <c r="C497" s="15" t="s">
        <v>91</v>
      </c>
      <c r="D497" s="24" t="s">
        <v>1975</v>
      </c>
      <c r="E497" s="24" t="s">
        <v>1976</v>
      </c>
      <c r="F497" s="24" t="s">
        <v>94</v>
      </c>
      <c r="G497" s="15" t="s">
        <v>91</v>
      </c>
      <c r="H497" s="15" t="s">
        <v>1977</v>
      </c>
      <c r="I497" s="15" t="s">
        <v>41</v>
      </c>
      <c r="J497" s="15" t="s">
        <v>1978</v>
      </c>
      <c r="K497" s="15" t="s">
        <v>98</v>
      </c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7"/>
      <c r="X497" s="17"/>
      <c r="Y497" s="17"/>
      <c r="Z497" s="17"/>
    </row>
    <row r="498" ht="15.75" customHeight="1">
      <c r="A498" s="24" t="s">
        <v>1911</v>
      </c>
      <c r="B498" s="24" t="s">
        <v>89</v>
      </c>
      <c r="C498" s="15" t="s">
        <v>91</v>
      </c>
      <c r="D498" s="24" t="s">
        <v>1979</v>
      </c>
      <c r="E498" s="24" t="s">
        <v>1980</v>
      </c>
      <c r="F498" s="24" t="s">
        <v>94</v>
      </c>
      <c r="G498" s="15" t="s">
        <v>91</v>
      </c>
      <c r="H498" s="15" t="s">
        <v>1981</v>
      </c>
      <c r="I498" s="15" t="s">
        <v>41</v>
      </c>
      <c r="J498" s="15" t="s">
        <v>1982</v>
      </c>
      <c r="K498" s="15" t="s">
        <v>98</v>
      </c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7"/>
      <c r="X498" s="17"/>
      <c r="Y498" s="17"/>
      <c r="Z498" s="17"/>
    </row>
    <row r="499" ht="15.75" customHeight="1">
      <c r="A499" s="24" t="s">
        <v>1911</v>
      </c>
      <c r="B499" s="24" t="s">
        <v>89</v>
      </c>
      <c r="C499" s="15" t="s">
        <v>91</v>
      </c>
      <c r="D499" s="24" t="s">
        <v>555</v>
      </c>
      <c r="E499" s="24" t="s">
        <v>557</v>
      </c>
      <c r="F499" s="24" t="s">
        <v>94</v>
      </c>
      <c r="G499" s="15" t="s">
        <v>91</v>
      </c>
      <c r="H499" s="15" t="s">
        <v>1983</v>
      </c>
      <c r="I499" s="15" t="s">
        <v>41</v>
      </c>
      <c r="J499" s="15" t="s">
        <v>1984</v>
      </c>
      <c r="K499" s="15" t="s">
        <v>98</v>
      </c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7"/>
      <c r="X499" s="17"/>
      <c r="Y499" s="17"/>
      <c r="Z499" s="17"/>
    </row>
    <row r="500" ht="15.75" customHeight="1">
      <c r="A500" s="24" t="s">
        <v>1911</v>
      </c>
      <c r="B500" s="24" t="s">
        <v>89</v>
      </c>
      <c r="C500" s="15" t="s">
        <v>91</v>
      </c>
      <c r="D500" s="24" t="s">
        <v>1985</v>
      </c>
      <c r="E500" s="24" t="s">
        <v>1301</v>
      </c>
      <c r="F500" s="24" t="s">
        <v>94</v>
      </c>
      <c r="G500" s="15" t="s">
        <v>91</v>
      </c>
      <c r="H500" s="15" t="s">
        <v>1306</v>
      </c>
      <c r="I500" s="15" t="s">
        <v>41</v>
      </c>
      <c r="J500" s="15" t="s">
        <v>1298</v>
      </c>
      <c r="K500" s="15" t="s">
        <v>98</v>
      </c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7"/>
      <c r="X500" s="17"/>
      <c r="Y500" s="17"/>
      <c r="Z500" s="17"/>
    </row>
    <row r="501" ht="15.75" customHeight="1">
      <c r="A501" s="24" t="s">
        <v>1911</v>
      </c>
      <c r="B501" s="24" t="s">
        <v>89</v>
      </c>
      <c r="C501" s="15" t="s">
        <v>91</v>
      </c>
      <c r="D501" s="24" t="s">
        <v>1986</v>
      </c>
      <c r="E501" s="24" t="s">
        <v>1286</v>
      </c>
      <c r="F501" s="24" t="s">
        <v>94</v>
      </c>
      <c r="G501" s="15" t="s">
        <v>91</v>
      </c>
      <c r="H501" s="15" t="s">
        <v>1293</v>
      </c>
      <c r="I501" s="15" t="s">
        <v>41</v>
      </c>
      <c r="J501" s="15" t="s">
        <v>1284</v>
      </c>
      <c r="K501" s="15" t="s">
        <v>98</v>
      </c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7"/>
      <c r="X501" s="17"/>
      <c r="Y501" s="17"/>
      <c r="Z501" s="17"/>
    </row>
    <row r="502" ht="15.75" customHeight="1">
      <c r="A502" s="24" t="s">
        <v>1911</v>
      </c>
      <c r="B502" s="24" t="s">
        <v>89</v>
      </c>
      <c r="C502" s="15" t="s">
        <v>91</v>
      </c>
      <c r="D502" s="24" t="s">
        <v>1007</v>
      </c>
      <c r="E502" s="24" t="s">
        <v>1987</v>
      </c>
      <c r="F502" s="24" t="s">
        <v>94</v>
      </c>
      <c r="G502" s="15" t="s">
        <v>91</v>
      </c>
      <c r="H502" s="15" t="s">
        <v>1988</v>
      </c>
      <c r="I502" s="15" t="s">
        <v>41</v>
      </c>
      <c r="J502" s="15" t="s">
        <v>1989</v>
      </c>
      <c r="K502" s="15" t="s">
        <v>98</v>
      </c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7"/>
      <c r="X502" s="17"/>
      <c r="Y502" s="17"/>
      <c r="Z502" s="17"/>
    </row>
    <row r="503" ht="15.75" customHeight="1">
      <c r="A503" s="24" t="s">
        <v>1911</v>
      </c>
      <c r="B503" s="24" t="s">
        <v>89</v>
      </c>
      <c r="C503" s="15" t="s">
        <v>91</v>
      </c>
      <c r="D503" s="24" t="s">
        <v>1990</v>
      </c>
      <c r="E503" s="24" t="s">
        <v>973</v>
      </c>
      <c r="F503" s="24" t="s">
        <v>94</v>
      </c>
      <c r="G503" s="15" t="s">
        <v>91</v>
      </c>
      <c r="H503" s="15" t="s">
        <v>976</v>
      </c>
      <c r="I503" s="15" t="s">
        <v>41</v>
      </c>
      <c r="J503" s="15" t="s">
        <v>972</v>
      </c>
      <c r="K503" s="15" t="s">
        <v>98</v>
      </c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7"/>
      <c r="X503" s="17"/>
      <c r="Y503" s="17"/>
      <c r="Z503" s="17"/>
    </row>
    <row r="504" ht="15.75" customHeight="1">
      <c r="A504" s="24" t="s">
        <v>1911</v>
      </c>
      <c r="B504" s="24" t="s">
        <v>89</v>
      </c>
      <c r="C504" s="15" t="s">
        <v>91</v>
      </c>
      <c r="D504" s="24" t="s">
        <v>1164</v>
      </c>
      <c r="E504" s="24" t="s">
        <v>1170</v>
      </c>
      <c r="F504" s="24" t="s">
        <v>94</v>
      </c>
      <c r="G504" s="15" t="s">
        <v>91</v>
      </c>
      <c r="H504" s="15" t="s">
        <v>1172</v>
      </c>
      <c r="I504" s="15" t="s">
        <v>41</v>
      </c>
      <c r="J504" s="15" t="s">
        <v>1164</v>
      </c>
      <c r="K504" s="15" t="s">
        <v>98</v>
      </c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7"/>
      <c r="X504" s="17"/>
      <c r="Y504" s="17"/>
      <c r="Z504" s="17"/>
    </row>
    <row r="505" ht="15.75" customHeight="1">
      <c r="A505" s="24" t="s">
        <v>1171</v>
      </c>
      <c r="B505" s="24" t="s">
        <v>1991</v>
      </c>
      <c r="C505" s="15" t="s">
        <v>1992</v>
      </c>
      <c r="D505" s="24" t="s">
        <v>1659</v>
      </c>
      <c r="E505" s="24" t="s">
        <v>1993</v>
      </c>
      <c r="F505" s="24" t="s">
        <v>38</v>
      </c>
      <c r="G505" s="15" t="s">
        <v>52</v>
      </c>
      <c r="H505" s="20" t="s">
        <v>1854</v>
      </c>
      <c r="I505" s="20" t="s">
        <v>221</v>
      </c>
      <c r="J505" s="15" t="s">
        <v>222</v>
      </c>
      <c r="K505" s="15" t="s">
        <v>223</v>
      </c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7"/>
      <c r="X505" s="17"/>
      <c r="Y505" s="17"/>
      <c r="Z505" s="17"/>
    </row>
    <row r="506" ht="15.75" customHeight="1">
      <c r="A506" s="24" t="s">
        <v>214</v>
      </c>
      <c r="B506" s="24" t="s">
        <v>1994</v>
      </c>
      <c r="C506" s="15" t="s">
        <v>1995</v>
      </c>
      <c r="D506" s="24" t="s">
        <v>1994</v>
      </c>
      <c r="E506" s="24" t="s">
        <v>1994</v>
      </c>
      <c r="F506" s="24" t="s">
        <v>38</v>
      </c>
      <c r="G506" s="15" t="s">
        <v>217</v>
      </c>
      <c r="H506" s="20" t="s">
        <v>1996</v>
      </c>
      <c r="I506" s="20" t="s">
        <v>221</v>
      </c>
      <c r="J506" s="15" t="s">
        <v>222</v>
      </c>
      <c r="K506" s="15" t="s">
        <v>223</v>
      </c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7"/>
      <c r="X506" s="17"/>
      <c r="Y506" s="17"/>
      <c r="Z506" s="17"/>
    </row>
    <row r="507" ht="15.75" customHeight="1">
      <c r="A507" s="24" t="s">
        <v>1754</v>
      </c>
      <c r="B507" s="24" t="s">
        <v>1997</v>
      </c>
      <c r="C507" s="15" t="s">
        <v>1998</v>
      </c>
      <c r="D507" s="24" t="s">
        <v>1997</v>
      </c>
      <c r="E507" s="24" t="s">
        <v>430</v>
      </c>
      <c r="F507" s="24" t="s">
        <v>38</v>
      </c>
      <c r="G507" s="15" t="s">
        <v>1999</v>
      </c>
      <c r="H507" s="15" t="s">
        <v>433</v>
      </c>
      <c r="I507" s="15" t="s">
        <v>41</v>
      </c>
      <c r="J507" s="15" t="s">
        <v>428</v>
      </c>
      <c r="K507" s="15" t="s">
        <v>85</v>
      </c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7"/>
      <c r="X507" s="17"/>
      <c r="Y507" s="17"/>
      <c r="Z507" s="17"/>
    </row>
    <row r="508" ht="15.75" customHeight="1">
      <c r="A508" s="24" t="s">
        <v>1754</v>
      </c>
      <c r="B508" s="24" t="s">
        <v>2000</v>
      </c>
      <c r="C508" s="15" t="s">
        <v>2001</v>
      </c>
      <c r="D508" s="24" t="s">
        <v>2000</v>
      </c>
      <c r="E508" s="24" t="s">
        <v>419</v>
      </c>
      <c r="F508" s="24" t="s">
        <v>38</v>
      </c>
      <c r="G508" s="15" t="s">
        <v>1999</v>
      </c>
      <c r="H508" s="15" t="s">
        <v>433</v>
      </c>
      <c r="I508" s="15" t="s">
        <v>41</v>
      </c>
      <c r="J508" s="15" t="s">
        <v>428</v>
      </c>
      <c r="K508" s="15" t="s">
        <v>85</v>
      </c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7"/>
      <c r="X508" s="17"/>
      <c r="Y508" s="17"/>
      <c r="Z508" s="17"/>
    </row>
    <row r="509" ht="15.75" customHeight="1">
      <c r="A509" s="24" t="s">
        <v>1754</v>
      </c>
      <c r="B509" s="24" t="s">
        <v>89</v>
      </c>
      <c r="C509" s="15" t="s">
        <v>91</v>
      </c>
      <c r="D509" s="24" t="s">
        <v>1007</v>
      </c>
      <c r="E509" s="24" t="s">
        <v>2002</v>
      </c>
      <c r="F509" s="24" t="s">
        <v>94</v>
      </c>
      <c r="G509" s="15" t="s">
        <v>91</v>
      </c>
      <c r="H509" s="15" t="s">
        <v>2003</v>
      </c>
      <c r="I509" s="15" t="s">
        <v>41</v>
      </c>
      <c r="J509" s="15" t="s">
        <v>2004</v>
      </c>
      <c r="K509" s="15" t="s">
        <v>98</v>
      </c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7"/>
      <c r="X509" s="17"/>
      <c r="Y509" s="17"/>
      <c r="Z509" s="17"/>
    </row>
    <row r="510" ht="15.75" customHeight="1">
      <c r="A510" s="24" t="s">
        <v>1754</v>
      </c>
      <c r="B510" s="24" t="s">
        <v>89</v>
      </c>
      <c r="C510" s="15" t="s">
        <v>91</v>
      </c>
      <c r="D510" s="24" t="s">
        <v>1007</v>
      </c>
      <c r="E510" s="24" t="s">
        <v>2005</v>
      </c>
      <c r="F510" s="24" t="s">
        <v>94</v>
      </c>
      <c r="G510" s="15" t="s">
        <v>91</v>
      </c>
      <c r="H510" s="15" t="s">
        <v>2006</v>
      </c>
      <c r="I510" s="15" t="s">
        <v>41</v>
      </c>
      <c r="J510" s="15" t="s">
        <v>2007</v>
      </c>
      <c r="K510" s="15" t="s">
        <v>98</v>
      </c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7"/>
      <c r="X510" s="17"/>
      <c r="Y510" s="17"/>
      <c r="Z510" s="17"/>
    </row>
    <row r="511" ht="15.75" customHeight="1">
      <c r="A511" s="24" t="s">
        <v>1754</v>
      </c>
      <c r="B511" s="24" t="s">
        <v>89</v>
      </c>
      <c r="C511" s="15" t="s">
        <v>91</v>
      </c>
      <c r="D511" s="24" t="s">
        <v>1007</v>
      </c>
      <c r="E511" s="24" t="s">
        <v>2008</v>
      </c>
      <c r="F511" s="24" t="s">
        <v>94</v>
      </c>
      <c r="G511" s="15" t="s">
        <v>91</v>
      </c>
      <c r="H511" s="15" t="s">
        <v>2009</v>
      </c>
      <c r="I511" s="15" t="s">
        <v>41</v>
      </c>
      <c r="J511" s="15" t="s">
        <v>2010</v>
      </c>
      <c r="K511" s="15" t="s">
        <v>98</v>
      </c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7"/>
      <c r="X511" s="17"/>
      <c r="Y511" s="17"/>
      <c r="Z511" s="17"/>
    </row>
    <row r="512" ht="15.75" customHeight="1">
      <c r="A512" s="24" t="s">
        <v>1754</v>
      </c>
      <c r="B512" s="24" t="s">
        <v>2011</v>
      </c>
      <c r="C512" s="15" t="s">
        <v>2012</v>
      </c>
      <c r="D512" s="24" t="s">
        <v>2013</v>
      </c>
      <c r="E512" s="24" t="s">
        <v>2013</v>
      </c>
      <c r="F512" s="24" t="s">
        <v>38</v>
      </c>
      <c r="G512" s="15" t="s">
        <v>217</v>
      </c>
      <c r="H512" s="15" t="s">
        <v>2014</v>
      </c>
      <c r="I512" s="15" t="s">
        <v>41</v>
      </c>
      <c r="J512" s="15" t="s">
        <v>2015</v>
      </c>
      <c r="K512" s="15" t="s">
        <v>223</v>
      </c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7"/>
      <c r="X512" s="17"/>
      <c r="Y512" s="17"/>
      <c r="Z512" s="17"/>
    </row>
    <row r="513" ht="15.75" customHeight="1">
      <c r="A513" s="24" t="s">
        <v>1754</v>
      </c>
      <c r="B513" s="24" t="s">
        <v>89</v>
      </c>
      <c r="C513" s="15" t="s">
        <v>91</v>
      </c>
      <c r="D513" s="24" t="s">
        <v>1007</v>
      </c>
      <c r="E513" s="24" t="s">
        <v>2016</v>
      </c>
      <c r="F513" s="24" t="s">
        <v>94</v>
      </c>
      <c r="G513" s="15" t="s">
        <v>91</v>
      </c>
      <c r="H513" s="15" t="s">
        <v>2017</v>
      </c>
      <c r="I513" s="15" t="s">
        <v>41</v>
      </c>
      <c r="J513" s="15" t="s">
        <v>2015</v>
      </c>
      <c r="K513" s="15" t="s">
        <v>98</v>
      </c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7"/>
      <c r="X513" s="17"/>
      <c r="Y513" s="17"/>
      <c r="Z513" s="17"/>
    </row>
    <row r="514" ht="15.75" customHeight="1">
      <c r="A514" s="24" t="s">
        <v>1754</v>
      </c>
      <c r="B514" s="24" t="s">
        <v>89</v>
      </c>
      <c r="C514" s="15" t="s">
        <v>91</v>
      </c>
      <c r="D514" s="24" t="s">
        <v>1007</v>
      </c>
      <c r="E514" s="24" t="s">
        <v>727</v>
      </c>
      <c r="F514" s="24" t="s">
        <v>94</v>
      </c>
      <c r="G514" s="15" t="s">
        <v>91</v>
      </c>
      <c r="H514" s="15" t="s">
        <v>732</v>
      </c>
      <c r="I514" s="15" t="s">
        <v>41</v>
      </c>
      <c r="J514" s="15" t="s">
        <v>726</v>
      </c>
      <c r="K514" s="15" t="s">
        <v>98</v>
      </c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7"/>
      <c r="X514" s="17"/>
      <c r="Y514" s="17"/>
      <c r="Z514" s="17"/>
    </row>
    <row r="515" ht="15.75" customHeight="1">
      <c r="A515" s="24" t="s">
        <v>1754</v>
      </c>
      <c r="B515" s="24" t="s">
        <v>2019</v>
      </c>
      <c r="C515" s="15" t="s">
        <v>382</v>
      </c>
      <c r="D515" s="24" t="s">
        <v>2019</v>
      </c>
      <c r="E515" s="24" t="s">
        <v>390</v>
      </c>
      <c r="F515" s="24" t="s">
        <v>38</v>
      </c>
      <c r="G515" s="15" t="s">
        <v>2020</v>
      </c>
      <c r="H515" s="15" t="s">
        <v>406</v>
      </c>
      <c r="I515" s="15" t="s">
        <v>41</v>
      </c>
      <c r="J515" s="15" t="s">
        <v>380</v>
      </c>
      <c r="K515" s="15" t="s">
        <v>85</v>
      </c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7"/>
      <c r="X515" s="17"/>
      <c r="Y515" s="17"/>
      <c r="Z515" s="17"/>
    </row>
    <row r="516" ht="15.75" customHeight="1">
      <c r="A516" s="24" t="s">
        <v>1754</v>
      </c>
      <c r="B516" s="24" t="s">
        <v>2021</v>
      </c>
      <c r="C516" s="15" t="s">
        <v>2022</v>
      </c>
      <c r="D516" s="24" t="s">
        <v>2021</v>
      </c>
      <c r="E516" s="24" t="s">
        <v>355</v>
      </c>
      <c r="F516" s="24" t="s">
        <v>38</v>
      </c>
      <c r="G516" s="15" t="s">
        <v>2023</v>
      </c>
      <c r="H516" s="15" t="s">
        <v>440</v>
      </c>
      <c r="I516" s="15" t="s">
        <v>41</v>
      </c>
      <c r="J516" s="15" t="s">
        <v>436</v>
      </c>
      <c r="K516" s="15" t="s">
        <v>85</v>
      </c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7"/>
      <c r="X516" s="17"/>
      <c r="Y516" s="17"/>
      <c r="Z516" s="17"/>
    </row>
    <row r="517" ht="15.75" customHeight="1">
      <c r="A517" s="24" t="s">
        <v>1754</v>
      </c>
      <c r="B517" s="24" t="s">
        <v>2024</v>
      </c>
      <c r="C517" s="15" t="s">
        <v>2025</v>
      </c>
      <c r="D517" s="24" t="s">
        <v>2024</v>
      </c>
      <c r="E517" s="24" t="s">
        <v>439</v>
      </c>
      <c r="F517" s="24" t="s">
        <v>38</v>
      </c>
      <c r="G517" s="15" t="s">
        <v>2023</v>
      </c>
      <c r="H517" s="15" t="s">
        <v>440</v>
      </c>
      <c r="I517" s="15" t="s">
        <v>41</v>
      </c>
      <c r="J517" s="15" t="s">
        <v>436</v>
      </c>
      <c r="K517" s="15" t="s">
        <v>85</v>
      </c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7"/>
      <c r="X517" s="17"/>
      <c r="Y517" s="17"/>
      <c r="Z517" s="17"/>
    </row>
    <row r="518" ht="15.75" customHeight="1">
      <c r="A518" s="24" t="s">
        <v>1754</v>
      </c>
      <c r="B518" s="24" t="s">
        <v>89</v>
      </c>
      <c r="C518" s="15" t="s">
        <v>91</v>
      </c>
      <c r="D518" s="24" t="s">
        <v>2000</v>
      </c>
      <c r="E518" s="24" t="s">
        <v>419</v>
      </c>
      <c r="F518" s="24" t="s">
        <v>94</v>
      </c>
      <c r="G518" s="15" t="s">
        <v>91</v>
      </c>
      <c r="H518" s="15" t="s">
        <v>420</v>
      </c>
      <c r="I518" s="15" t="s">
        <v>41</v>
      </c>
      <c r="J518" s="15" t="s">
        <v>415</v>
      </c>
      <c r="K518" s="15" t="s">
        <v>98</v>
      </c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7"/>
      <c r="X518" s="17"/>
      <c r="Y518" s="17"/>
      <c r="Z518" s="17"/>
    </row>
    <row r="519" ht="15.75" customHeight="1">
      <c r="A519" s="24" t="s">
        <v>1754</v>
      </c>
      <c r="B519" s="24" t="s">
        <v>89</v>
      </c>
      <c r="C519" s="15" t="s">
        <v>91</v>
      </c>
      <c r="D519" s="24" t="s">
        <v>2021</v>
      </c>
      <c r="E519" s="24" t="s">
        <v>355</v>
      </c>
      <c r="F519" s="24" t="s">
        <v>94</v>
      </c>
      <c r="G519" s="15" t="s">
        <v>91</v>
      </c>
      <c r="H519" s="15" t="s">
        <v>369</v>
      </c>
      <c r="I519" s="15" t="s">
        <v>41</v>
      </c>
      <c r="J519" s="15" t="s">
        <v>353</v>
      </c>
      <c r="K519" s="15" t="s">
        <v>98</v>
      </c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7"/>
      <c r="X519" s="17"/>
      <c r="Y519" s="17"/>
      <c r="Z519" s="17"/>
    </row>
    <row r="520" ht="15.75" customHeight="1">
      <c r="A520" s="24" t="s">
        <v>2027</v>
      </c>
      <c r="B520" s="24" t="s">
        <v>2028</v>
      </c>
      <c r="C520" s="15" t="s">
        <v>2029</v>
      </c>
      <c r="D520" s="24" t="s">
        <v>2028</v>
      </c>
      <c r="E520" s="24" t="s">
        <v>2030</v>
      </c>
      <c r="F520" s="24" t="s">
        <v>38</v>
      </c>
      <c r="G520" s="15" t="s">
        <v>52</v>
      </c>
      <c r="H520" s="15" t="s">
        <v>723</v>
      </c>
      <c r="I520" s="15" t="s">
        <v>41</v>
      </c>
      <c r="J520" s="15" t="s">
        <v>707</v>
      </c>
      <c r="K520" s="15" t="s">
        <v>85</v>
      </c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7"/>
      <c r="X520" s="17"/>
      <c r="Y520" s="17"/>
      <c r="Z520" s="17"/>
    </row>
    <row r="521" ht="15.75" customHeight="1">
      <c r="A521" s="24" t="s">
        <v>2027</v>
      </c>
      <c r="B521" s="24" t="s">
        <v>2031</v>
      </c>
      <c r="C521" s="15" t="s">
        <v>2029</v>
      </c>
      <c r="D521" s="24" t="s">
        <v>2031</v>
      </c>
      <c r="E521" s="24" t="s">
        <v>2032</v>
      </c>
      <c r="F521" s="24" t="s">
        <v>38</v>
      </c>
      <c r="G521" s="15" t="s">
        <v>52</v>
      </c>
      <c r="H521" s="15" t="s">
        <v>723</v>
      </c>
      <c r="I521" s="15" t="s">
        <v>41</v>
      </c>
      <c r="J521" s="15" t="s">
        <v>707</v>
      </c>
      <c r="K521" s="15" t="s">
        <v>85</v>
      </c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7"/>
      <c r="X521" s="17"/>
      <c r="Y521" s="17"/>
      <c r="Z521" s="17"/>
    </row>
    <row r="522" ht="15.75" customHeight="1">
      <c r="A522" s="24"/>
      <c r="B522" s="24"/>
      <c r="C522" s="15"/>
      <c r="D522" s="24"/>
      <c r="E522" s="24"/>
      <c r="F522" s="24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7"/>
      <c r="X522" s="17"/>
      <c r="Y522" s="17"/>
      <c r="Z522" s="17"/>
    </row>
    <row r="523" ht="15.75" customHeight="1">
      <c r="A523" s="24"/>
      <c r="B523" s="24"/>
      <c r="C523" s="15"/>
      <c r="D523" s="24"/>
      <c r="E523" s="24"/>
      <c r="F523" s="24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7"/>
      <c r="X523" s="17"/>
      <c r="Y523" s="17"/>
      <c r="Z523" s="17"/>
    </row>
    <row r="524" ht="15.75" customHeight="1">
      <c r="A524" s="24"/>
      <c r="B524" s="24"/>
      <c r="C524" s="15"/>
      <c r="D524" s="24"/>
      <c r="E524" s="24"/>
      <c r="F524" s="24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7"/>
      <c r="X524" s="17"/>
      <c r="Y524" s="17"/>
      <c r="Z524" s="17"/>
    </row>
    <row r="525" ht="15.75" customHeight="1">
      <c r="A525" s="24"/>
      <c r="B525" s="24"/>
      <c r="C525" s="15"/>
      <c r="D525" s="24"/>
      <c r="E525" s="24"/>
      <c r="F525" s="24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7"/>
      <c r="X525" s="17"/>
      <c r="Y525" s="17"/>
      <c r="Z525" s="17"/>
    </row>
    <row r="526" ht="15.75" customHeight="1">
      <c r="A526" s="24"/>
      <c r="B526" s="24"/>
      <c r="C526" s="15"/>
      <c r="D526" s="24"/>
      <c r="E526" s="24"/>
      <c r="F526" s="24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7"/>
      <c r="X526" s="17"/>
      <c r="Y526" s="17"/>
      <c r="Z526" s="17"/>
    </row>
    <row r="527" ht="15.75" customHeight="1">
      <c r="A527" s="24"/>
      <c r="B527" s="24"/>
      <c r="C527" s="15"/>
      <c r="D527" s="24"/>
      <c r="E527" s="24"/>
      <c r="F527" s="24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7"/>
      <c r="X527" s="17"/>
      <c r="Y527" s="17"/>
      <c r="Z527" s="17"/>
    </row>
    <row r="528" ht="15.75" customHeight="1">
      <c r="A528" s="24"/>
      <c r="B528" s="24"/>
      <c r="C528" s="15"/>
      <c r="D528" s="24"/>
      <c r="E528" s="24"/>
      <c r="F528" s="24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7"/>
      <c r="X528" s="17"/>
      <c r="Y528" s="17"/>
      <c r="Z528" s="17"/>
    </row>
    <row r="529" ht="15.75" customHeight="1">
      <c r="A529" s="24"/>
      <c r="B529" s="24"/>
      <c r="C529" s="15"/>
      <c r="D529" s="24"/>
      <c r="E529" s="24"/>
      <c r="F529" s="24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7"/>
      <c r="X529" s="17"/>
      <c r="Y529" s="17"/>
      <c r="Z529" s="17"/>
    </row>
    <row r="530" ht="15.75" customHeight="1">
      <c r="A530" s="24"/>
      <c r="B530" s="24"/>
      <c r="C530" s="15"/>
      <c r="D530" s="24"/>
      <c r="E530" s="24"/>
      <c r="F530" s="24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7"/>
      <c r="X530" s="17"/>
      <c r="Y530" s="17"/>
      <c r="Z530" s="17"/>
    </row>
    <row r="531" ht="15.75" customHeight="1">
      <c r="A531" s="24"/>
      <c r="B531" s="24"/>
      <c r="C531" s="15"/>
      <c r="D531" s="24"/>
      <c r="E531" s="24"/>
      <c r="F531" s="24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7"/>
      <c r="X531" s="17"/>
      <c r="Y531" s="17"/>
      <c r="Z531" s="17"/>
    </row>
    <row r="532" ht="15.75" customHeight="1">
      <c r="A532" s="24"/>
      <c r="B532" s="24"/>
      <c r="C532" s="15"/>
      <c r="D532" s="24"/>
      <c r="E532" s="24"/>
      <c r="F532" s="24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7"/>
      <c r="X532" s="17"/>
      <c r="Y532" s="17"/>
      <c r="Z532" s="17"/>
    </row>
    <row r="533" ht="15.75" customHeight="1">
      <c r="A533" s="24"/>
      <c r="B533" s="24"/>
      <c r="C533" s="15"/>
      <c r="D533" s="24"/>
      <c r="E533" s="24"/>
      <c r="F533" s="24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7"/>
      <c r="X533" s="17"/>
      <c r="Y533" s="17"/>
      <c r="Z533" s="17"/>
    </row>
    <row r="534" ht="15.75" customHeight="1">
      <c r="A534" s="24"/>
      <c r="B534" s="24"/>
      <c r="C534" s="15"/>
      <c r="D534" s="24"/>
      <c r="E534" s="24"/>
      <c r="F534" s="24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7"/>
      <c r="X534" s="17"/>
      <c r="Y534" s="17"/>
      <c r="Z534" s="17"/>
    </row>
    <row r="535" ht="15.75" customHeight="1">
      <c r="A535" s="24"/>
      <c r="B535" s="24"/>
      <c r="C535" s="15"/>
      <c r="D535" s="24"/>
      <c r="E535" s="24"/>
      <c r="F535" s="24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7"/>
      <c r="X535" s="17"/>
      <c r="Y535" s="17"/>
      <c r="Z535" s="17"/>
    </row>
    <row r="536" ht="15.75" customHeight="1">
      <c r="A536" s="24"/>
      <c r="B536" s="24"/>
      <c r="C536" s="15"/>
      <c r="D536" s="24"/>
      <c r="E536" s="24"/>
      <c r="F536" s="24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7"/>
      <c r="X536" s="17"/>
      <c r="Y536" s="17"/>
      <c r="Z536" s="17"/>
    </row>
    <row r="537" ht="15.75" customHeight="1">
      <c r="A537" s="24"/>
      <c r="B537" s="24"/>
      <c r="C537" s="15"/>
      <c r="D537" s="24"/>
      <c r="E537" s="24"/>
      <c r="F537" s="24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7"/>
      <c r="X537" s="17"/>
      <c r="Y537" s="17"/>
      <c r="Z537" s="17"/>
    </row>
    <row r="538" ht="15.75" customHeight="1">
      <c r="A538" s="24"/>
      <c r="B538" s="24"/>
      <c r="C538" s="15"/>
      <c r="D538" s="24"/>
      <c r="E538" s="24"/>
      <c r="F538" s="24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7"/>
      <c r="X538" s="17"/>
      <c r="Y538" s="17"/>
      <c r="Z538" s="17"/>
    </row>
    <row r="539" ht="15.75" customHeight="1">
      <c r="A539" s="24"/>
      <c r="B539" s="24"/>
      <c r="C539" s="15"/>
      <c r="D539" s="24"/>
      <c r="E539" s="24"/>
      <c r="F539" s="24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7"/>
      <c r="X539" s="17"/>
      <c r="Y539" s="17"/>
      <c r="Z539" s="17"/>
    </row>
    <row r="540" ht="15.75" customHeight="1">
      <c r="A540" s="24"/>
      <c r="B540" s="24"/>
      <c r="C540" s="15"/>
      <c r="D540" s="24"/>
      <c r="E540" s="24"/>
      <c r="F540" s="24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7"/>
      <c r="X540" s="17"/>
      <c r="Y540" s="17"/>
      <c r="Z540" s="17"/>
    </row>
    <row r="541" ht="15.75" customHeight="1">
      <c r="A541" s="24"/>
      <c r="B541" s="24"/>
      <c r="C541" s="15"/>
      <c r="D541" s="24"/>
      <c r="E541" s="24"/>
      <c r="F541" s="24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7"/>
      <c r="X541" s="17"/>
      <c r="Y541" s="17"/>
      <c r="Z541" s="17"/>
    </row>
    <row r="542" ht="15.75" customHeight="1">
      <c r="A542" s="24"/>
      <c r="B542" s="24"/>
      <c r="C542" s="15"/>
      <c r="D542" s="24"/>
      <c r="E542" s="24"/>
      <c r="F542" s="24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7"/>
      <c r="X542" s="17"/>
      <c r="Y542" s="17"/>
      <c r="Z542" s="17"/>
    </row>
    <row r="543" ht="15.75" customHeight="1">
      <c r="A543" s="24"/>
      <c r="B543" s="24"/>
      <c r="C543" s="15"/>
      <c r="D543" s="24"/>
      <c r="E543" s="24"/>
      <c r="F543" s="24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7"/>
      <c r="X543" s="17"/>
      <c r="Y543" s="17"/>
      <c r="Z543" s="17"/>
    </row>
    <row r="544" ht="15.75" customHeight="1">
      <c r="A544" s="24"/>
      <c r="B544" s="24"/>
      <c r="C544" s="15"/>
      <c r="D544" s="24"/>
      <c r="E544" s="24"/>
      <c r="F544" s="24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7"/>
      <c r="X544" s="17"/>
      <c r="Y544" s="17"/>
      <c r="Z544" s="17"/>
    </row>
    <row r="545" ht="15.75" customHeight="1">
      <c r="A545" s="24"/>
      <c r="B545" s="24"/>
      <c r="C545" s="15"/>
      <c r="D545" s="24"/>
      <c r="E545" s="24"/>
      <c r="F545" s="24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7"/>
      <c r="X545" s="17"/>
      <c r="Y545" s="17"/>
      <c r="Z545" s="17"/>
    </row>
    <row r="546" ht="15.75" customHeight="1">
      <c r="A546" s="24"/>
      <c r="B546" s="24"/>
      <c r="C546" s="15"/>
      <c r="D546" s="24"/>
      <c r="E546" s="24"/>
      <c r="F546" s="24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7"/>
      <c r="X546" s="17"/>
      <c r="Y546" s="17"/>
      <c r="Z546" s="17"/>
    </row>
    <row r="547" ht="15.75" customHeight="1">
      <c r="A547" s="24"/>
      <c r="B547" s="24"/>
      <c r="C547" s="15"/>
      <c r="D547" s="24"/>
      <c r="E547" s="24"/>
      <c r="F547" s="24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7"/>
      <c r="X547" s="17"/>
      <c r="Y547" s="17"/>
      <c r="Z547" s="17"/>
    </row>
    <row r="548" ht="15.75" customHeight="1">
      <c r="A548" s="24"/>
      <c r="B548" s="24"/>
      <c r="C548" s="15"/>
      <c r="D548" s="24"/>
      <c r="E548" s="24"/>
      <c r="F548" s="24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7"/>
      <c r="X548" s="17"/>
      <c r="Y548" s="17"/>
      <c r="Z548" s="17"/>
    </row>
    <row r="549" ht="15.75" customHeight="1">
      <c r="A549" s="24"/>
      <c r="B549" s="24"/>
      <c r="C549" s="15"/>
      <c r="D549" s="24"/>
      <c r="E549" s="24"/>
      <c r="F549" s="24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7"/>
      <c r="X549" s="17"/>
      <c r="Y549" s="17"/>
      <c r="Z549" s="17"/>
    </row>
    <row r="550" ht="15.75" customHeight="1">
      <c r="A550" s="24"/>
      <c r="B550" s="24"/>
      <c r="C550" s="15"/>
      <c r="D550" s="24"/>
      <c r="E550" s="24"/>
      <c r="F550" s="24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7"/>
      <c r="X550" s="17"/>
      <c r="Y550" s="17"/>
      <c r="Z550" s="17"/>
    </row>
    <row r="551" ht="15.75" customHeight="1">
      <c r="A551" s="24"/>
      <c r="B551" s="24"/>
      <c r="C551" s="15"/>
      <c r="D551" s="24"/>
      <c r="E551" s="24"/>
      <c r="F551" s="24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7"/>
      <c r="X551" s="17"/>
      <c r="Y551" s="17"/>
      <c r="Z551" s="17"/>
    </row>
    <row r="552" ht="15.75" customHeight="1">
      <c r="A552" s="24"/>
      <c r="B552" s="24"/>
      <c r="C552" s="15"/>
      <c r="D552" s="24"/>
      <c r="E552" s="24"/>
      <c r="F552" s="24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7"/>
      <c r="X552" s="17"/>
      <c r="Y552" s="17"/>
      <c r="Z552" s="17"/>
    </row>
    <row r="553" ht="15.75" customHeight="1">
      <c r="A553" s="24"/>
      <c r="B553" s="24"/>
      <c r="C553" s="15"/>
      <c r="D553" s="24"/>
      <c r="E553" s="24"/>
      <c r="F553" s="24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7"/>
      <c r="X553" s="17"/>
      <c r="Y553" s="17"/>
      <c r="Z553" s="17"/>
    </row>
    <row r="554" ht="15.75" customHeight="1">
      <c r="A554" s="24"/>
      <c r="B554" s="24"/>
      <c r="C554" s="15"/>
      <c r="D554" s="24"/>
      <c r="E554" s="24"/>
      <c r="F554" s="24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7"/>
      <c r="X554" s="17"/>
      <c r="Y554" s="17"/>
      <c r="Z554" s="17"/>
    </row>
    <row r="555" ht="15.75" customHeight="1">
      <c r="A555" s="24"/>
      <c r="B555" s="24"/>
      <c r="C555" s="15"/>
      <c r="D555" s="24"/>
      <c r="E555" s="24"/>
      <c r="F555" s="24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7"/>
      <c r="X555" s="17"/>
      <c r="Y555" s="17"/>
      <c r="Z555" s="17"/>
    </row>
    <row r="556" ht="15.75" customHeight="1">
      <c r="A556" s="24"/>
      <c r="B556" s="24"/>
      <c r="C556" s="15"/>
      <c r="D556" s="24"/>
      <c r="E556" s="24"/>
      <c r="F556" s="24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7"/>
      <c r="X556" s="17"/>
      <c r="Y556" s="17"/>
      <c r="Z556" s="17"/>
    </row>
    <row r="557" ht="15.75" customHeight="1">
      <c r="A557" s="24"/>
      <c r="B557" s="24"/>
      <c r="C557" s="15"/>
      <c r="D557" s="24"/>
      <c r="E557" s="24"/>
      <c r="F557" s="24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7"/>
      <c r="X557" s="17"/>
      <c r="Y557" s="17"/>
      <c r="Z557" s="17"/>
    </row>
    <row r="558" ht="15.75" customHeight="1">
      <c r="A558" s="24"/>
      <c r="B558" s="24"/>
      <c r="C558" s="15"/>
      <c r="D558" s="24"/>
      <c r="E558" s="24"/>
      <c r="F558" s="24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7"/>
      <c r="X558" s="17"/>
      <c r="Y558" s="17"/>
      <c r="Z558" s="17"/>
    </row>
    <row r="559" ht="15.75" customHeight="1">
      <c r="A559" s="24"/>
      <c r="B559" s="24"/>
      <c r="C559" s="15"/>
      <c r="D559" s="24"/>
      <c r="E559" s="24"/>
      <c r="F559" s="24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7"/>
      <c r="X559" s="17"/>
      <c r="Y559" s="17"/>
      <c r="Z559" s="17"/>
    </row>
    <row r="560" ht="15.75" customHeight="1">
      <c r="A560" s="24"/>
      <c r="B560" s="24"/>
      <c r="C560" s="15"/>
      <c r="D560" s="24"/>
      <c r="E560" s="24"/>
      <c r="F560" s="24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7"/>
      <c r="X560" s="17"/>
      <c r="Y560" s="17"/>
      <c r="Z560" s="17"/>
    </row>
    <row r="561" ht="15.75" customHeight="1">
      <c r="A561" s="24"/>
      <c r="B561" s="24"/>
      <c r="C561" s="15"/>
      <c r="D561" s="24"/>
      <c r="E561" s="24"/>
      <c r="F561" s="24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7"/>
      <c r="X561" s="17"/>
      <c r="Y561" s="17"/>
      <c r="Z561" s="17"/>
    </row>
    <row r="562" ht="15.75" customHeight="1">
      <c r="A562" s="24"/>
      <c r="B562" s="24"/>
      <c r="C562" s="15"/>
      <c r="D562" s="24"/>
      <c r="E562" s="24"/>
      <c r="F562" s="24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7"/>
      <c r="X562" s="17"/>
      <c r="Y562" s="17"/>
      <c r="Z562" s="17"/>
    </row>
    <row r="563" ht="15.75" customHeight="1">
      <c r="A563" s="24"/>
      <c r="B563" s="24"/>
      <c r="C563" s="15"/>
      <c r="D563" s="24"/>
      <c r="E563" s="24"/>
      <c r="F563" s="24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7"/>
      <c r="X563" s="17"/>
      <c r="Y563" s="17"/>
      <c r="Z563" s="17"/>
    </row>
    <row r="564" ht="15.75" customHeight="1">
      <c r="A564" s="24"/>
      <c r="B564" s="24"/>
      <c r="C564" s="15"/>
      <c r="D564" s="24"/>
      <c r="E564" s="24"/>
      <c r="F564" s="24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7"/>
      <c r="X564" s="17"/>
      <c r="Y564" s="17"/>
      <c r="Z564" s="17"/>
    </row>
    <row r="565" ht="15.75" customHeight="1">
      <c r="A565" s="24"/>
      <c r="B565" s="24"/>
      <c r="C565" s="15"/>
      <c r="D565" s="24"/>
      <c r="E565" s="24"/>
      <c r="F565" s="24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7"/>
      <c r="X565" s="17"/>
      <c r="Y565" s="17"/>
      <c r="Z565" s="17"/>
    </row>
    <row r="566" ht="15.75" customHeight="1">
      <c r="A566" s="24"/>
      <c r="B566" s="24"/>
      <c r="C566" s="15"/>
      <c r="D566" s="24"/>
      <c r="E566" s="24"/>
      <c r="F566" s="24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7"/>
      <c r="X566" s="17"/>
      <c r="Y566" s="17"/>
      <c r="Z566" s="17"/>
    </row>
    <row r="567" ht="15.75" customHeight="1">
      <c r="A567" s="24"/>
      <c r="B567" s="24"/>
      <c r="C567" s="15"/>
      <c r="D567" s="24"/>
      <c r="E567" s="24"/>
      <c r="F567" s="24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7"/>
      <c r="X567" s="17"/>
      <c r="Y567" s="17"/>
      <c r="Z567" s="17"/>
    </row>
    <row r="568" ht="15.75" customHeight="1">
      <c r="A568" s="24"/>
      <c r="B568" s="24"/>
      <c r="C568" s="15"/>
      <c r="D568" s="24"/>
      <c r="E568" s="24"/>
      <c r="F568" s="24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7"/>
      <c r="X568" s="17"/>
      <c r="Y568" s="17"/>
      <c r="Z568" s="17"/>
    </row>
    <row r="569" ht="15.75" customHeight="1">
      <c r="A569" s="24"/>
      <c r="B569" s="24"/>
      <c r="C569" s="15"/>
      <c r="D569" s="24"/>
      <c r="E569" s="24"/>
      <c r="F569" s="24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7"/>
      <c r="X569" s="17"/>
      <c r="Y569" s="17"/>
      <c r="Z569" s="17"/>
    </row>
    <row r="570" ht="15.75" customHeight="1">
      <c r="A570" s="24"/>
      <c r="B570" s="24"/>
      <c r="C570" s="15"/>
      <c r="D570" s="24"/>
      <c r="E570" s="24"/>
      <c r="F570" s="24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7"/>
      <c r="X570" s="17"/>
      <c r="Y570" s="17"/>
      <c r="Z570" s="17"/>
    </row>
    <row r="571" ht="15.75" customHeight="1">
      <c r="A571" s="24"/>
      <c r="B571" s="24"/>
      <c r="C571" s="15"/>
      <c r="D571" s="24"/>
      <c r="E571" s="24"/>
      <c r="F571" s="24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7"/>
      <c r="X571" s="17"/>
      <c r="Y571" s="17"/>
      <c r="Z571" s="17"/>
    </row>
    <row r="572" ht="15.75" customHeight="1">
      <c r="A572" s="24"/>
      <c r="B572" s="24"/>
      <c r="C572" s="15"/>
      <c r="D572" s="24"/>
      <c r="E572" s="24"/>
      <c r="F572" s="24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7"/>
      <c r="X572" s="17"/>
      <c r="Y572" s="17"/>
      <c r="Z572" s="17"/>
    </row>
    <row r="573" ht="15.75" customHeight="1">
      <c r="A573" s="24"/>
      <c r="B573" s="24"/>
      <c r="C573" s="15"/>
      <c r="D573" s="24"/>
      <c r="E573" s="24"/>
      <c r="F573" s="24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7"/>
      <c r="X573" s="17"/>
      <c r="Y573" s="17"/>
      <c r="Z573" s="17"/>
    </row>
    <row r="574" ht="15.75" customHeight="1">
      <c r="A574" s="24"/>
      <c r="B574" s="24"/>
      <c r="C574" s="15"/>
      <c r="D574" s="24"/>
      <c r="E574" s="24"/>
      <c r="F574" s="24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7"/>
      <c r="X574" s="17"/>
      <c r="Y574" s="17"/>
      <c r="Z574" s="17"/>
    </row>
    <row r="575" ht="15.75" customHeight="1">
      <c r="A575" s="24"/>
      <c r="B575" s="24"/>
      <c r="C575" s="15"/>
      <c r="D575" s="24"/>
      <c r="E575" s="24"/>
      <c r="F575" s="24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7"/>
      <c r="X575" s="17"/>
      <c r="Y575" s="17"/>
      <c r="Z575" s="17"/>
    </row>
    <row r="576" ht="15.75" customHeight="1">
      <c r="A576" s="24"/>
      <c r="B576" s="24"/>
      <c r="C576" s="15"/>
      <c r="D576" s="24"/>
      <c r="E576" s="24"/>
      <c r="F576" s="24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7"/>
      <c r="X576" s="17"/>
      <c r="Y576" s="17"/>
      <c r="Z576" s="17"/>
    </row>
    <row r="577" ht="15.75" customHeight="1">
      <c r="A577" s="24"/>
      <c r="B577" s="24"/>
      <c r="C577" s="15"/>
      <c r="D577" s="24"/>
      <c r="E577" s="24"/>
      <c r="F577" s="24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7"/>
      <c r="X577" s="17"/>
      <c r="Y577" s="17"/>
      <c r="Z577" s="17"/>
    </row>
    <row r="578" ht="15.75" customHeight="1">
      <c r="A578" s="24"/>
      <c r="B578" s="24"/>
      <c r="C578" s="15"/>
      <c r="D578" s="24"/>
      <c r="E578" s="24"/>
      <c r="F578" s="24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7"/>
      <c r="X578" s="17"/>
      <c r="Y578" s="17"/>
      <c r="Z578" s="17"/>
    </row>
    <row r="579" ht="15.75" customHeight="1">
      <c r="A579" s="24"/>
      <c r="B579" s="24"/>
      <c r="C579" s="15"/>
      <c r="D579" s="24"/>
      <c r="E579" s="24"/>
      <c r="F579" s="24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7"/>
      <c r="X579" s="17"/>
      <c r="Y579" s="17"/>
      <c r="Z579" s="17"/>
    </row>
    <row r="580" ht="15.75" customHeight="1">
      <c r="A580" s="24"/>
      <c r="B580" s="24"/>
      <c r="C580" s="15"/>
      <c r="D580" s="24"/>
      <c r="E580" s="24"/>
      <c r="F580" s="24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7"/>
      <c r="X580" s="17"/>
      <c r="Y580" s="17"/>
      <c r="Z580" s="17"/>
    </row>
    <row r="581" ht="15.75" customHeight="1">
      <c r="A581" s="24"/>
      <c r="B581" s="24"/>
      <c r="C581" s="15"/>
      <c r="D581" s="24"/>
      <c r="E581" s="24"/>
      <c r="F581" s="24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7"/>
      <c r="X581" s="17"/>
      <c r="Y581" s="17"/>
      <c r="Z581" s="17"/>
    </row>
    <row r="582" ht="15.75" customHeight="1">
      <c r="A582" s="24"/>
      <c r="B582" s="24"/>
      <c r="C582" s="15"/>
      <c r="D582" s="24"/>
      <c r="E582" s="24"/>
      <c r="F582" s="24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7"/>
      <c r="X582" s="17"/>
      <c r="Y582" s="17"/>
      <c r="Z582" s="17"/>
    </row>
    <row r="583" ht="15.75" customHeight="1">
      <c r="A583" s="24"/>
      <c r="B583" s="24"/>
      <c r="C583" s="15"/>
      <c r="D583" s="24"/>
      <c r="E583" s="24"/>
      <c r="F583" s="24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7"/>
      <c r="X583" s="17"/>
      <c r="Y583" s="17"/>
      <c r="Z583" s="17"/>
    </row>
    <row r="584" ht="15.75" customHeight="1">
      <c r="A584" s="24"/>
      <c r="B584" s="24"/>
      <c r="C584" s="15"/>
      <c r="D584" s="24"/>
      <c r="E584" s="24"/>
      <c r="F584" s="24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7"/>
      <c r="X584" s="17"/>
      <c r="Y584" s="17"/>
      <c r="Z584" s="17"/>
    </row>
    <row r="585" ht="15.75" customHeight="1">
      <c r="A585" s="24"/>
      <c r="B585" s="24"/>
      <c r="C585" s="15"/>
      <c r="D585" s="24"/>
      <c r="E585" s="24"/>
      <c r="F585" s="24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7"/>
      <c r="X585" s="17"/>
      <c r="Y585" s="17"/>
      <c r="Z585" s="17"/>
    </row>
    <row r="586" ht="15.75" customHeight="1">
      <c r="A586" s="24"/>
      <c r="B586" s="24"/>
      <c r="C586" s="15"/>
      <c r="D586" s="24"/>
      <c r="E586" s="24"/>
      <c r="F586" s="24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7"/>
      <c r="X586" s="17"/>
      <c r="Y586" s="17"/>
      <c r="Z586" s="17"/>
    </row>
    <row r="587" ht="15.75" customHeight="1">
      <c r="A587" s="24"/>
      <c r="B587" s="24"/>
      <c r="C587" s="15"/>
      <c r="D587" s="24"/>
      <c r="E587" s="24"/>
      <c r="F587" s="24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7"/>
      <c r="X587" s="17"/>
      <c r="Y587" s="17"/>
      <c r="Z587" s="17"/>
    </row>
    <row r="588" ht="15.75" customHeight="1">
      <c r="A588" s="24"/>
      <c r="B588" s="24"/>
      <c r="C588" s="15"/>
      <c r="D588" s="24"/>
      <c r="E588" s="24"/>
      <c r="F588" s="24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7"/>
      <c r="X588" s="17"/>
      <c r="Y588" s="17"/>
      <c r="Z588" s="17"/>
    </row>
    <row r="589" ht="15.75" customHeight="1">
      <c r="A589" s="24"/>
      <c r="B589" s="24"/>
      <c r="C589" s="15"/>
      <c r="D589" s="24"/>
      <c r="E589" s="24"/>
      <c r="F589" s="24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7"/>
      <c r="X589" s="17"/>
      <c r="Y589" s="17"/>
      <c r="Z589" s="17"/>
    </row>
    <row r="590" ht="15.75" customHeight="1">
      <c r="A590" s="24"/>
      <c r="B590" s="24"/>
      <c r="C590" s="15"/>
      <c r="D590" s="24"/>
      <c r="E590" s="24"/>
      <c r="F590" s="24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7"/>
      <c r="X590" s="17"/>
      <c r="Y590" s="17"/>
      <c r="Z590" s="17"/>
    </row>
    <row r="591" ht="15.75" customHeight="1">
      <c r="A591" s="24"/>
      <c r="B591" s="24"/>
      <c r="C591" s="15"/>
      <c r="D591" s="24"/>
      <c r="E591" s="24"/>
      <c r="F591" s="24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7"/>
      <c r="X591" s="17"/>
      <c r="Y591" s="17"/>
      <c r="Z591" s="17"/>
    </row>
    <row r="592" ht="15.75" customHeight="1">
      <c r="A592" s="24"/>
      <c r="B592" s="24"/>
      <c r="C592" s="15"/>
      <c r="D592" s="24"/>
      <c r="E592" s="24"/>
      <c r="F592" s="24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7"/>
      <c r="X592" s="17"/>
      <c r="Y592" s="17"/>
      <c r="Z592" s="17"/>
    </row>
    <row r="593" ht="15.75" customHeight="1">
      <c r="A593" s="24"/>
      <c r="B593" s="24"/>
      <c r="C593" s="15"/>
      <c r="D593" s="24"/>
      <c r="E593" s="24"/>
      <c r="F593" s="24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7"/>
      <c r="X593" s="17"/>
      <c r="Y593" s="17"/>
      <c r="Z593" s="17"/>
    </row>
    <row r="594" ht="15.75" customHeight="1">
      <c r="A594" s="24"/>
      <c r="B594" s="24"/>
      <c r="C594" s="15"/>
      <c r="D594" s="24"/>
      <c r="E594" s="24"/>
      <c r="F594" s="24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7"/>
      <c r="X594" s="17"/>
      <c r="Y594" s="17"/>
      <c r="Z594" s="17"/>
    </row>
    <row r="595" ht="15.75" customHeight="1">
      <c r="A595" s="24"/>
      <c r="B595" s="24"/>
      <c r="C595" s="15"/>
      <c r="D595" s="24"/>
      <c r="E595" s="24"/>
      <c r="F595" s="24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7"/>
      <c r="X595" s="17"/>
      <c r="Y595" s="17"/>
      <c r="Z595" s="17"/>
    </row>
    <row r="596" ht="15.75" customHeight="1">
      <c r="A596" s="24"/>
      <c r="B596" s="24"/>
      <c r="C596" s="15"/>
      <c r="D596" s="24"/>
      <c r="E596" s="24"/>
      <c r="F596" s="24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7"/>
      <c r="X596" s="17"/>
      <c r="Y596" s="17"/>
      <c r="Z596" s="17"/>
    </row>
    <row r="597" ht="15.75" customHeight="1">
      <c r="A597" s="24"/>
      <c r="B597" s="24"/>
      <c r="C597" s="15"/>
      <c r="D597" s="24"/>
      <c r="E597" s="24"/>
      <c r="F597" s="24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7"/>
      <c r="X597" s="17"/>
      <c r="Y597" s="17"/>
      <c r="Z597" s="17"/>
    </row>
    <row r="598" ht="15.75" customHeight="1">
      <c r="A598" s="24"/>
      <c r="B598" s="24"/>
      <c r="C598" s="15"/>
      <c r="D598" s="24"/>
      <c r="E598" s="24"/>
      <c r="F598" s="24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7"/>
      <c r="X598" s="17"/>
      <c r="Y598" s="17"/>
      <c r="Z598" s="17"/>
    </row>
    <row r="599" ht="15.75" customHeight="1">
      <c r="A599" s="24"/>
      <c r="B599" s="24"/>
      <c r="C599" s="15"/>
      <c r="D599" s="24"/>
      <c r="E599" s="24"/>
      <c r="F599" s="24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7"/>
      <c r="X599" s="17"/>
      <c r="Y599" s="17"/>
      <c r="Z599" s="17"/>
    </row>
    <row r="600" ht="15.75" customHeight="1">
      <c r="A600" s="24"/>
      <c r="B600" s="24"/>
      <c r="C600" s="15"/>
      <c r="D600" s="24"/>
      <c r="E600" s="24"/>
      <c r="F600" s="24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7"/>
      <c r="X600" s="17"/>
      <c r="Y600" s="17"/>
      <c r="Z600" s="17"/>
    </row>
    <row r="601" ht="15.75" customHeight="1">
      <c r="A601" s="24"/>
      <c r="B601" s="24"/>
      <c r="C601" s="15"/>
      <c r="D601" s="24"/>
      <c r="E601" s="24"/>
      <c r="F601" s="24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7"/>
      <c r="X601" s="17"/>
      <c r="Y601" s="17"/>
      <c r="Z601" s="17"/>
    </row>
    <row r="602" ht="15.75" customHeight="1">
      <c r="A602" s="24"/>
      <c r="B602" s="24"/>
      <c r="C602" s="15"/>
      <c r="D602" s="24"/>
      <c r="E602" s="24"/>
      <c r="F602" s="24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7"/>
      <c r="X602" s="17"/>
      <c r="Y602" s="17"/>
      <c r="Z602" s="17"/>
    </row>
    <row r="603" ht="15.75" customHeight="1">
      <c r="A603" s="24"/>
      <c r="B603" s="24"/>
      <c r="C603" s="15"/>
      <c r="D603" s="24"/>
      <c r="E603" s="24"/>
      <c r="F603" s="24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7"/>
      <c r="X603" s="17"/>
      <c r="Y603" s="17"/>
      <c r="Z603" s="17"/>
    </row>
    <row r="604" ht="15.75" customHeight="1">
      <c r="A604" s="24"/>
      <c r="B604" s="24"/>
      <c r="C604" s="15"/>
      <c r="D604" s="24"/>
      <c r="E604" s="24"/>
      <c r="F604" s="24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7"/>
      <c r="X604" s="17"/>
      <c r="Y604" s="17"/>
      <c r="Z604" s="17"/>
    </row>
    <row r="605" ht="15.75" customHeight="1">
      <c r="A605" s="24"/>
      <c r="B605" s="24"/>
      <c r="C605" s="15"/>
      <c r="D605" s="24"/>
      <c r="E605" s="24"/>
      <c r="F605" s="24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7"/>
      <c r="X605" s="17"/>
      <c r="Y605" s="17"/>
      <c r="Z605" s="17"/>
    </row>
    <row r="606" ht="15.75" customHeight="1">
      <c r="A606" s="24"/>
      <c r="B606" s="24"/>
      <c r="C606" s="15"/>
      <c r="D606" s="24"/>
      <c r="E606" s="24"/>
      <c r="F606" s="24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7"/>
      <c r="X606" s="17"/>
      <c r="Y606" s="17"/>
      <c r="Z606" s="17"/>
    </row>
    <row r="607" ht="15.75" customHeight="1">
      <c r="A607" s="24"/>
      <c r="B607" s="24"/>
      <c r="C607" s="15"/>
      <c r="D607" s="24"/>
      <c r="E607" s="24"/>
      <c r="F607" s="24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7"/>
      <c r="X607" s="17"/>
      <c r="Y607" s="17"/>
      <c r="Z607" s="17"/>
    </row>
    <row r="608" ht="15.75" customHeight="1">
      <c r="A608" s="24"/>
      <c r="B608" s="24"/>
      <c r="C608" s="15"/>
      <c r="D608" s="24"/>
      <c r="E608" s="24"/>
      <c r="F608" s="24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7"/>
      <c r="X608" s="17"/>
      <c r="Y608" s="17"/>
      <c r="Z608" s="17"/>
    </row>
    <row r="609" ht="15.75" customHeight="1">
      <c r="A609" s="24"/>
      <c r="B609" s="24"/>
      <c r="C609" s="15"/>
      <c r="D609" s="24"/>
      <c r="E609" s="24"/>
      <c r="F609" s="24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7"/>
      <c r="X609" s="17"/>
      <c r="Y609" s="17"/>
      <c r="Z609" s="17"/>
    </row>
    <row r="610" ht="15.75" customHeight="1">
      <c r="A610" s="24"/>
      <c r="B610" s="24"/>
      <c r="C610" s="15"/>
      <c r="D610" s="24"/>
      <c r="E610" s="24"/>
      <c r="F610" s="24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7"/>
      <c r="X610" s="17"/>
      <c r="Y610" s="17"/>
      <c r="Z610" s="17"/>
    </row>
    <row r="611" ht="15.75" customHeight="1">
      <c r="A611" s="24"/>
      <c r="B611" s="24"/>
      <c r="C611" s="15"/>
      <c r="D611" s="24"/>
      <c r="E611" s="24"/>
      <c r="F611" s="24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7"/>
      <c r="X611" s="17"/>
      <c r="Y611" s="17"/>
      <c r="Z611" s="17"/>
    </row>
    <row r="612" ht="15.75" customHeight="1">
      <c r="A612" s="24"/>
      <c r="B612" s="24"/>
      <c r="C612" s="15"/>
      <c r="D612" s="24"/>
      <c r="E612" s="24"/>
      <c r="F612" s="24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7"/>
      <c r="X612" s="17"/>
      <c r="Y612" s="17"/>
      <c r="Z612" s="17"/>
    </row>
    <row r="613" ht="15.75" customHeight="1">
      <c r="A613" s="24"/>
      <c r="B613" s="24"/>
      <c r="C613" s="15"/>
      <c r="D613" s="24"/>
      <c r="E613" s="24"/>
      <c r="F613" s="24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7"/>
      <c r="X613" s="17"/>
      <c r="Y613" s="17"/>
      <c r="Z613" s="17"/>
    </row>
    <row r="614" ht="15.75" customHeight="1">
      <c r="A614" s="24"/>
      <c r="B614" s="24"/>
      <c r="C614" s="15"/>
      <c r="D614" s="24"/>
      <c r="E614" s="24"/>
      <c r="F614" s="24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7"/>
      <c r="X614" s="17"/>
      <c r="Y614" s="17"/>
      <c r="Z614" s="17"/>
    </row>
    <row r="615" ht="15.75" customHeight="1">
      <c r="A615" s="24"/>
      <c r="B615" s="24"/>
      <c r="C615" s="15"/>
      <c r="D615" s="24"/>
      <c r="E615" s="24"/>
      <c r="F615" s="24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7"/>
      <c r="X615" s="17"/>
      <c r="Y615" s="17"/>
      <c r="Z615" s="17"/>
    </row>
    <row r="616" ht="15.75" customHeight="1">
      <c r="A616" s="24"/>
      <c r="B616" s="24"/>
      <c r="C616" s="15"/>
      <c r="D616" s="24"/>
      <c r="E616" s="24"/>
      <c r="F616" s="24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7"/>
      <c r="X616" s="17"/>
      <c r="Y616" s="17"/>
      <c r="Z616" s="17"/>
    </row>
    <row r="617" ht="15.75" customHeight="1">
      <c r="A617" s="24"/>
      <c r="B617" s="24"/>
      <c r="C617" s="15"/>
      <c r="D617" s="24"/>
      <c r="E617" s="24"/>
      <c r="F617" s="24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7"/>
      <c r="X617" s="17"/>
      <c r="Y617" s="17"/>
      <c r="Z617" s="17"/>
    </row>
    <row r="618" ht="15.75" customHeight="1">
      <c r="A618" s="24"/>
      <c r="B618" s="24"/>
      <c r="C618" s="15"/>
      <c r="D618" s="24"/>
      <c r="E618" s="24"/>
      <c r="F618" s="24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7"/>
      <c r="X618" s="17"/>
      <c r="Y618" s="17"/>
      <c r="Z618" s="17"/>
    </row>
    <row r="619" ht="15.75" customHeight="1">
      <c r="A619" s="24"/>
      <c r="B619" s="24"/>
      <c r="C619" s="15"/>
      <c r="D619" s="24"/>
      <c r="E619" s="24"/>
      <c r="F619" s="24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7"/>
      <c r="X619" s="17"/>
      <c r="Y619" s="17"/>
      <c r="Z619" s="17"/>
    </row>
    <row r="620" ht="15.75" customHeight="1">
      <c r="A620" s="24"/>
      <c r="B620" s="24"/>
      <c r="C620" s="15"/>
      <c r="D620" s="24"/>
      <c r="E620" s="24"/>
      <c r="F620" s="24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7"/>
      <c r="X620" s="17"/>
      <c r="Y620" s="17"/>
      <c r="Z620" s="17"/>
    </row>
    <row r="621" ht="15.75" customHeight="1">
      <c r="A621" s="24"/>
      <c r="B621" s="24"/>
      <c r="C621" s="15"/>
      <c r="D621" s="24"/>
      <c r="E621" s="24"/>
      <c r="F621" s="24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7"/>
      <c r="X621" s="17"/>
      <c r="Y621" s="17"/>
      <c r="Z621" s="17"/>
    </row>
    <row r="622" ht="15.75" customHeight="1">
      <c r="A622" s="24"/>
      <c r="B622" s="24"/>
      <c r="C622" s="15"/>
      <c r="D622" s="24"/>
      <c r="E622" s="24"/>
      <c r="F622" s="24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7"/>
      <c r="X622" s="17"/>
      <c r="Y622" s="17"/>
      <c r="Z622" s="17"/>
    </row>
    <row r="623" ht="15.75" customHeight="1">
      <c r="A623" s="24"/>
      <c r="B623" s="24"/>
      <c r="C623" s="15"/>
      <c r="D623" s="24"/>
      <c r="E623" s="24"/>
      <c r="F623" s="24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7"/>
      <c r="X623" s="17"/>
      <c r="Y623" s="17"/>
      <c r="Z623" s="17"/>
    </row>
    <row r="624" ht="15.75" customHeight="1">
      <c r="A624" s="24"/>
      <c r="B624" s="24"/>
      <c r="C624" s="15"/>
      <c r="D624" s="24"/>
      <c r="E624" s="24"/>
      <c r="F624" s="24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7"/>
      <c r="X624" s="17"/>
      <c r="Y624" s="17"/>
      <c r="Z624" s="17"/>
    </row>
    <row r="625" ht="15.75" customHeight="1">
      <c r="A625" s="24"/>
      <c r="B625" s="24"/>
      <c r="C625" s="15"/>
      <c r="D625" s="24"/>
      <c r="E625" s="24"/>
      <c r="F625" s="24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7"/>
      <c r="X625" s="17"/>
      <c r="Y625" s="17"/>
      <c r="Z625" s="17"/>
    </row>
    <row r="626" ht="15.75" customHeight="1">
      <c r="A626" s="24"/>
      <c r="B626" s="24"/>
      <c r="C626" s="15"/>
      <c r="D626" s="24"/>
      <c r="E626" s="24"/>
      <c r="F626" s="24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7"/>
      <c r="X626" s="17"/>
      <c r="Y626" s="17"/>
      <c r="Z626" s="17"/>
    </row>
    <row r="627" ht="15.75" customHeight="1">
      <c r="A627" s="24"/>
      <c r="B627" s="24"/>
      <c r="C627" s="15"/>
      <c r="D627" s="24"/>
      <c r="E627" s="24"/>
      <c r="F627" s="24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7"/>
      <c r="X627" s="17"/>
      <c r="Y627" s="17"/>
      <c r="Z627" s="17"/>
    </row>
    <row r="628" ht="15.75" customHeight="1">
      <c r="A628" s="24"/>
      <c r="B628" s="24"/>
      <c r="C628" s="15"/>
      <c r="D628" s="24"/>
      <c r="E628" s="24"/>
      <c r="F628" s="24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7"/>
      <c r="X628" s="17"/>
      <c r="Y628" s="17"/>
      <c r="Z628" s="17"/>
    </row>
    <row r="629" ht="15.75" customHeight="1">
      <c r="A629" s="24"/>
      <c r="B629" s="24"/>
      <c r="C629" s="15"/>
      <c r="D629" s="24"/>
      <c r="E629" s="24"/>
      <c r="F629" s="24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7"/>
      <c r="X629" s="17"/>
      <c r="Y629" s="17"/>
      <c r="Z629" s="17"/>
    </row>
    <row r="630" ht="15.75" customHeight="1">
      <c r="A630" s="24"/>
      <c r="B630" s="24"/>
      <c r="C630" s="15"/>
      <c r="D630" s="24"/>
      <c r="E630" s="24"/>
      <c r="F630" s="24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7"/>
      <c r="X630" s="17"/>
      <c r="Y630" s="17"/>
      <c r="Z630" s="17"/>
    </row>
    <row r="631" ht="15.75" customHeight="1">
      <c r="A631" s="24"/>
      <c r="B631" s="24"/>
      <c r="C631" s="15"/>
      <c r="D631" s="24"/>
      <c r="E631" s="24"/>
      <c r="F631" s="24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7"/>
      <c r="X631" s="17"/>
      <c r="Y631" s="17"/>
      <c r="Z631" s="17"/>
    </row>
    <row r="632" ht="15.75" customHeight="1">
      <c r="A632" s="24"/>
      <c r="B632" s="24"/>
      <c r="C632" s="15"/>
      <c r="D632" s="24"/>
      <c r="E632" s="24"/>
      <c r="F632" s="24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7"/>
      <c r="X632" s="17"/>
      <c r="Y632" s="17"/>
      <c r="Z632" s="17"/>
    </row>
    <row r="633" ht="15.75" customHeight="1">
      <c r="A633" s="24"/>
      <c r="B633" s="24"/>
      <c r="C633" s="15"/>
      <c r="D633" s="24"/>
      <c r="E633" s="24"/>
      <c r="F633" s="24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7"/>
      <c r="X633" s="17"/>
      <c r="Y633" s="17"/>
      <c r="Z633" s="17"/>
    </row>
    <row r="634" ht="15.75" customHeight="1">
      <c r="A634" s="24"/>
      <c r="B634" s="24"/>
      <c r="C634" s="15"/>
      <c r="D634" s="24"/>
      <c r="E634" s="24"/>
      <c r="F634" s="24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7"/>
      <c r="X634" s="17"/>
      <c r="Y634" s="17"/>
      <c r="Z634" s="17"/>
    </row>
    <row r="635" ht="15.75" customHeight="1">
      <c r="A635" s="24"/>
      <c r="B635" s="24"/>
      <c r="C635" s="15"/>
      <c r="D635" s="24"/>
      <c r="E635" s="24"/>
      <c r="F635" s="24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7"/>
      <c r="X635" s="17"/>
      <c r="Y635" s="17"/>
      <c r="Z635" s="17"/>
    </row>
    <row r="636" ht="15.75" customHeight="1">
      <c r="A636" s="24"/>
      <c r="B636" s="24"/>
      <c r="C636" s="15"/>
      <c r="D636" s="24"/>
      <c r="E636" s="24"/>
      <c r="F636" s="24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7"/>
      <c r="X636" s="17"/>
      <c r="Y636" s="17"/>
      <c r="Z636" s="17"/>
    </row>
    <row r="637" ht="15.75" customHeight="1">
      <c r="A637" s="24"/>
      <c r="B637" s="24"/>
      <c r="C637" s="15"/>
      <c r="D637" s="24"/>
      <c r="E637" s="24"/>
      <c r="F637" s="24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7"/>
      <c r="X637" s="17"/>
      <c r="Y637" s="17"/>
      <c r="Z637" s="17"/>
    </row>
    <row r="638" ht="15.75" customHeight="1">
      <c r="A638" s="24"/>
      <c r="B638" s="24"/>
      <c r="C638" s="15"/>
      <c r="D638" s="24"/>
      <c r="E638" s="24"/>
      <c r="F638" s="24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7"/>
      <c r="X638" s="17"/>
      <c r="Y638" s="17"/>
      <c r="Z638" s="17"/>
    </row>
    <row r="639" ht="15.75" customHeight="1">
      <c r="A639" s="24"/>
      <c r="B639" s="24"/>
      <c r="C639" s="15"/>
      <c r="D639" s="24"/>
      <c r="E639" s="24"/>
      <c r="F639" s="24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7"/>
      <c r="X639" s="17"/>
      <c r="Y639" s="17"/>
      <c r="Z639" s="17"/>
    </row>
    <row r="640" ht="15.75" customHeight="1">
      <c r="A640" s="24"/>
      <c r="B640" s="24"/>
      <c r="C640" s="15"/>
      <c r="D640" s="24"/>
      <c r="E640" s="24"/>
      <c r="F640" s="24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7"/>
      <c r="X640" s="17"/>
      <c r="Y640" s="17"/>
      <c r="Z640" s="17"/>
    </row>
    <row r="641" ht="15.75" customHeight="1">
      <c r="A641" s="24"/>
      <c r="B641" s="24"/>
      <c r="C641" s="15"/>
      <c r="D641" s="24"/>
      <c r="E641" s="24"/>
      <c r="F641" s="24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7"/>
      <c r="X641" s="17"/>
      <c r="Y641" s="17"/>
      <c r="Z641" s="17"/>
    </row>
    <row r="642" ht="15.75" customHeight="1">
      <c r="A642" s="24"/>
      <c r="B642" s="24"/>
      <c r="C642" s="15"/>
      <c r="D642" s="24"/>
      <c r="E642" s="24"/>
      <c r="F642" s="24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7"/>
      <c r="X642" s="17"/>
      <c r="Y642" s="17"/>
      <c r="Z642" s="17"/>
    </row>
    <row r="643" ht="15.75" customHeight="1">
      <c r="A643" s="24"/>
      <c r="B643" s="24"/>
      <c r="C643" s="15"/>
      <c r="D643" s="24"/>
      <c r="E643" s="24"/>
      <c r="F643" s="24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7"/>
      <c r="X643" s="17"/>
      <c r="Y643" s="17"/>
      <c r="Z643" s="17"/>
    </row>
    <row r="644" ht="15.75" customHeight="1">
      <c r="A644" s="24"/>
      <c r="B644" s="24"/>
      <c r="C644" s="15"/>
      <c r="D644" s="24"/>
      <c r="E644" s="24"/>
      <c r="F644" s="24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7"/>
      <c r="X644" s="17"/>
      <c r="Y644" s="17"/>
      <c r="Z644" s="17"/>
    </row>
    <row r="645" ht="15.75" customHeight="1">
      <c r="A645" s="24"/>
      <c r="B645" s="24"/>
      <c r="C645" s="15"/>
      <c r="D645" s="24"/>
      <c r="E645" s="24"/>
      <c r="F645" s="24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7"/>
      <c r="X645" s="17"/>
      <c r="Y645" s="17"/>
      <c r="Z645" s="17"/>
    </row>
    <row r="646" ht="15.75" customHeight="1">
      <c r="A646" s="24"/>
      <c r="B646" s="24"/>
      <c r="C646" s="15"/>
      <c r="D646" s="24"/>
      <c r="E646" s="24"/>
      <c r="F646" s="24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7"/>
      <c r="X646" s="17"/>
      <c r="Y646" s="17"/>
      <c r="Z646" s="17"/>
    </row>
    <row r="647" ht="15.75" customHeight="1">
      <c r="A647" s="24"/>
      <c r="B647" s="24"/>
      <c r="C647" s="15"/>
      <c r="D647" s="24"/>
      <c r="E647" s="24"/>
      <c r="F647" s="24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7"/>
      <c r="X647" s="17"/>
      <c r="Y647" s="17"/>
      <c r="Z647" s="17"/>
    </row>
    <row r="648" ht="15.75" customHeight="1">
      <c r="A648" s="24"/>
      <c r="B648" s="24"/>
      <c r="C648" s="15"/>
      <c r="D648" s="24"/>
      <c r="E648" s="24"/>
      <c r="F648" s="24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7"/>
      <c r="X648" s="17"/>
      <c r="Y648" s="17"/>
      <c r="Z648" s="17"/>
    </row>
    <row r="649" ht="15.75" customHeight="1">
      <c r="A649" s="24"/>
      <c r="B649" s="24"/>
      <c r="C649" s="15"/>
      <c r="D649" s="24"/>
      <c r="E649" s="24"/>
      <c r="F649" s="24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7"/>
      <c r="X649" s="17"/>
      <c r="Y649" s="17"/>
      <c r="Z649" s="17"/>
    </row>
    <row r="650" ht="15.75" customHeight="1">
      <c r="A650" s="24"/>
      <c r="B650" s="24"/>
      <c r="C650" s="15"/>
      <c r="D650" s="24"/>
      <c r="E650" s="24"/>
      <c r="F650" s="24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7"/>
      <c r="X650" s="17"/>
      <c r="Y650" s="17"/>
      <c r="Z650" s="17"/>
    </row>
    <row r="651" ht="15.75" customHeight="1">
      <c r="A651" s="24"/>
      <c r="B651" s="24"/>
      <c r="C651" s="15"/>
      <c r="D651" s="24"/>
      <c r="E651" s="24"/>
      <c r="F651" s="24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7"/>
      <c r="X651" s="17"/>
      <c r="Y651" s="17"/>
      <c r="Z651" s="17"/>
    </row>
    <row r="652" ht="15.75" customHeight="1">
      <c r="A652" s="24"/>
      <c r="B652" s="24"/>
      <c r="C652" s="15"/>
      <c r="D652" s="24"/>
      <c r="E652" s="24"/>
      <c r="F652" s="24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7"/>
      <c r="X652" s="17"/>
      <c r="Y652" s="17"/>
      <c r="Z652" s="17"/>
    </row>
    <row r="653" ht="15.75" customHeight="1">
      <c r="A653" s="24"/>
      <c r="B653" s="24"/>
      <c r="C653" s="15"/>
      <c r="D653" s="24"/>
      <c r="E653" s="24"/>
      <c r="F653" s="24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7"/>
      <c r="X653" s="17"/>
      <c r="Y653" s="17"/>
      <c r="Z653" s="17"/>
    </row>
    <row r="654" ht="15.75" customHeight="1">
      <c r="A654" s="24"/>
      <c r="B654" s="24"/>
      <c r="C654" s="15"/>
      <c r="D654" s="24"/>
      <c r="E654" s="24"/>
      <c r="F654" s="24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7"/>
      <c r="X654" s="17"/>
      <c r="Y654" s="17"/>
      <c r="Z654" s="17"/>
    </row>
    <row r="655" ht="15.75" customHeight="1">
      <c r="A655" s="24"/>
      <c r="B655" s="24"/>
      <c r="C655" s="15"/>
      <c r="D655" s="24"/>
      <c r="E655" s="24"/>
      <c r="F655" s="24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7"/>
      <c r="X655" s="17"/>
      <c r="Y655" s="17"/>
      <c r="Z655" s="17"/>
    </row>
    <row r="656" ht="15.75" customHeight="1">
      <c r="A656" s="24"/>
      <c r="B656" s="24"/>
      <c r="C656" s="15"/>
      <c r="D656" s="24"/>
      <c r="E656" s="24"/>
      <c r="F656" s="24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7"/>
      <c r="X656" s="17"/>
      <c r="Y656" s="17"/>
      <c r="Z656" s="17"/>
    </row>
    <row r="657" ht="15.75" customHeight="1">
      <c r="A657" s="24"/>
      <c r="B657" s="24"/>
      <c r="C657" s="15"/>
      <c r="D657" s="24"/>
      <c r="E657" s="24"/>
      <c r="F657" s="24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7"/>
      <c r="X657" s="17"/>
      <c r="Y657" s="17"/>
      <c r="Z657" s="17"/>
    </row>
    <row r="658" ht="15.75" customHeight="1">
      <c r="A658" s="24"/>
      <c r="B658" s="24"/>
      <c r="C658" s="15"/>
      <c r="D658" s="24"/>
      <c r="E658" s="24"/>
      <c r="F658" s="24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7"/>
      <c r="X658" s="17"/>
      <c r="Y658" s="17"/>
      <c r="Z658" s="17"/>
    </row>
    <row r="659" ht="15.75" customHeight="1">
      <c r="A659" s="24"/>
      <c r="B659" s="24"/>
      <c r="C659" s="15"/>
      <c r="D659" s="24"/>
      <c r="E659" s="24"/>
      <c r="F659" s="24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7"/>
      <c r="X659" s="17"/>
      <c r="Y659" s="17"/>
      <c r="Z659" s="17"/>
    </row>
    <row r="660" ht="15.75" customHeight="1">
      <c r="A660" s="24"/>
      <c r="B660" s="24"/>
      <c r="C660" s="15"/>
      <c r="D660" s="24"/>
      <c r="E660" s="24"/>
      <c r="F660" s="24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7"/>
      <c r="X660" s="17"/>
      <c r="Y660" s="17"/>
      <c r="Z660" s="17"/>
    </row>
    <row r="661" ht="15.75" customHeight="1">
      <c r="A661" s="24"/>
      <c r="B661" s="24"/>
      <c r="C661" s="15"/>
      <c r="D661" s="24"/>
      <c r="E661" s="24"/>
      <c r="F661" s="24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7"/>
      <c r="X661" s="17"/>
      <c r="Y661" s="17"/>
      <c r="Z661" s="17"/>
    </row>
    <row r="662" ht="15.75" customHeight="1">
      <c r="A662" s="24"/>
      <c r="B662" s="24"/>
      <c r="C662" s="15"/>
      <c r="D662" s="24"/>
      <c r="E662" s="24"/>
      <c r="F662" s="24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7"/>
      <c r="X662" s="17"/>
      <c r="Y662" s="17"/>
      <c r="Z662" s="17"/>
    </row>
    <row r="663" ht="15.75" customHeight="1">
      <c r="A663" s="24"/>
      <c r="B663" s="24"/>
      <c r="C663" s="15"/>
      <c r="D663" s="24"/>
      <c r="E663" s="24"/>
      <c r="F663" s="24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7"/>
      <c r="X663" s="17"/>
      <c r="Y663" s="17"/>
      <c r="Z663" s="17"/>
    </row>
    <row r="664" ht="15.75" customHeight="1">
      <c r="A664" s="24"/>
      <c r="B664" s="24"/>
      <c r="C664" s="15"/>
      <c r="D664" s="24"/>
      <c r="E664" s="24"/>
      <c r="F664" s="24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7"/>
      <c r="X664" s="17"/>
      <c r="Y664" s="17"/>
      <c r="Z664" s="17"/>
    </row>
    <row r="665" ht="15.75" customHeight="1">
      <c r="A665" s="24"/>
      <c r="B665" s="24"/>
      <c r="C665" s="15"/>
      <c r="D665" s="24"/>
      <c r="E665" s="24"/>
      <c r="F665" s="24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7"/>
      <c r="X665" s="17"/>
      <c r="Y665" s="17"/>
      <c r="Z665" s="17"/>
    </row>
    <row r="666" ht="15.75" customHeight="1">
      <c r="A666" s="24"/>
      <c r="B666" s="24"/>
      <c r="C666" s="15"/>
      <c r="D666" s="24"/>
      <c r="E666" s="24"/>
      <c r="F666" s="24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7"/>
      <c r="X666" s="17"/>
      <c r="Y666" s="17"/>
      <c r="Z666" s="17"/>
    </row>
    <row r="667" ht="15.75" customHeight="1">
      <c r="A667" s="24"/>
      <c r="B667" s="24"/>
      <c r="C667" s="15"/>
      <c r="D667" s="24"/>
      <c r="E667" s="24"/>
      <c r="F667" s="24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7"/>
      <c r="X667" s="17"/>
      <c r="Y667" s="17"/>
      <c r="Z667" s="17"/>
    </row>
    <row r="668" ht="15.75" customHeight="1">
      <c r="A668" s="24"/>
      <c r="B668" s="24"/>
      <c r="C668" s="15"/>
      <c r="D668" s="24"/>
      <c r="E668" s="24"/>
      <c r="F668" s="24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7"/>
      <c r="X668" s="17"/>
      <c r="Y668" s="17"/>
      <c r="Z668" s="17"/>
    </row>
    <row r="669" ht="15.75" customHeight="1">
      <c r="A669" s="24"/>
      <c r="B669" s="24"/>
      <c r="C669" s="15"/>
      <c r="D669" s="24"/>
      <c r="E669" s="24"/>
      <c r="F669" s="24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7"/>
      <c r="X669" s="17"/>
      <c r="Y669" s="17"/>
      <c r="Z669" s="17"/>
    </row>
    <row r="670" ht="15.75" customHeight="1">
      <c r="A670" s="24"/>
      <c r="B670" s="24"/>
      <c r="C670" s="15"/>
      <c r="D670" s="24"/>
      <c r="E670" s="24"/>
      <c r="F670" s="24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7"/>
      <c r="X670" s="17"/>
      <c r="Y670" s="17"/>
      <c r="Z670" s="17"/>
    </row>
    <row r="671" ht="15.75" customHeight="1">
      <c r="A671" s="24"/>
      <c r="B671" s="24"/>
      <c r="C671" s="15"/>
      <c r="D671" s="24"/>
      <c r="E671" s="24"/>
      <c r="F671" s="24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7"/>
      <c r="X671" s="17"/>
      <c r="Y671" s="17"/>
      <c r="Z671" s="17"/>
    </row>
    <row r="672" ht="15.75" customHeight="1">
      <c r="A672" s="24"/>
      <c r="B672" s="24"/>
      <c r="C672" s="15"/>
      <c r="D672" s="24"/>
      <c r="E672" s="24"/>
      <c r="F672" s="24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7"/>
      <c r="X672" s="17"/>
      <c r="Y672" s="17"/>
      <c r="Z672" s="17"/>
    </row>
    <row r="673" ht="15.75" customHeight="1">
      <c r="A673" s="24"/>
      <c r="B673" s="24"/>
      <c r="C673" s="15"/>
      <c r="D673" s="24"/>
      <c r="E673" s="24"/>
      <c r="F673" s="24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7"/>
      <c r="X673" s="17"/>
      <c r="Y673" s="17"/>
      <c r="Z673" s="17"/>
    </row>
    <row r="674" ht="15.75" customHeight="1">
      <c r="A674" s="24"/>
      <c r="B674" s="24"/>
      <c r="C674" s="15"/>
      <c r="D674" s="24"/>
      <c r="E674" s="24"/>
      <c r="F674" s="24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7"/>
      <c r="X674" s="17"/>
      <c r="Y674" s="17"/>
      <c r="Z674" s="17"/>
    </row>
    <row r="675" ht="15.75" customHeight="1">
      <c r="A675" s="24"/>
      <c r="B675" s="24"/>
      <c r="C675" s="15"/>
      <c r="D675" s="24"/>
      <c r="E675" s="24"/>
      <c r="F675" s="24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7"/>
      <c r="X675" s="17"/>
      <c r="Y675" s="17"/>
      <c r="Z675" s="17"/>
    </row>
    <row r="676" ht="15.75" customHeight="1">
      <c r="A676" s="24"/>
      <c r="B676" s="24"/>
      <c r="C676" s="15"/>
      <c r="D676" s="24"/>
      <c r="E676" s="24"/>
      <c r="F676" s="24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7"/>
      <c r="X676" s="17"/>
      <c r="Y676" s="17"/>
      <c r="Z676" s="17"/>
    </row>
    <row r="677" ht="15.75" customHeight="1">
      <c r="A677" s="24"/>
      <c r="B677" s="24"/>
      <c r="C677" s="15"/>
      <c r="D677" s="24"/>
      <c r="E677" s="24"/>
      <c r="F677" s="24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7"/>
      <c r="X677" s="17"/>
      <c r="Y677" s="17"/>
      <c r="Z677" s="17"/>
    </row>
    <row r="678" ht="15.75" customHeight="1">
      <c r="A678" s="24"/>
      <c r="B678" s="24"/>
      <c r="C678" s="15"/>
      <c r="D678" s="24"/>
      <c r="E678" s="24"/>
      <c r="F678" s="24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7"/>
      <c r="X678" s="17"/>
      <c r="Y678" s="17"/>
      <c r="Z678" s="17"/>
    </row>
    <row r="679" ht="15.75" customHeight="1">
      <c r="A679" s="24"/>
      <c r="B679" s="24"/>
      <c r="C679" s="15"/>
      <c r="D679" s="24"/>
      <c r="E679" s="24"/>
      <c r="F679" s="24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7"/>
      <c r="X679" s="17"/>
      <c r="Y679" s="17"/>
      <c r="Z679" s="17"/>
    </row>
    <row r="680" ht="15.75" customHeight="1">
      <c r="A680" s="24"/>
      <c r="B680" s="24"/>
      <c r="C680" s="15"/>
      <c r="D680" s="24"/>
      <c r="E680" s="24"/>
      <c r="F680" s="24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7"/>
      <c r="X680" s="17"/>
      <c r="Y680" s="17"/>
      <c r="Z680" s="17"/>
    </row>
    <row r="681" ht="15.75" customHeight="1">
      <c r="A681" s="24"/>
      <c r="B681" s="24"/>
      <c r="C681" s="15"/>
      <c r="D681" s="24"/>
      <c r="E681" s="24"/>
      <c r="F681" s="24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7"/>
      <c r="X681" s="17"/>
      <c r="Y681" s="17"/>
      <c r="Z681" s="17"/>
    </row>
    <row r="682" ht="15.75" customHeight="1">
      <c r="A682" s="24"/>
      <c r="B682" s="24"/>
      <c r="C682" s="15"/>
      <c r="D682" s="24"/>
      <c r="E682" s="24"/>
      <c r="F682" s="24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7"/>
      <c r="X682" s="17"/>
      <c r="Y682" s="17"/>
      <c r="Z682" s="17"/>
    </row>
    <row r="683" ht="15.75" customHeight="1">
      <c r="A683" s="24"/>
      <c r="B683" s="24"/>
      <c r="C683" s="15"/>
      <c r="D683" s="24"/>
      <c r="E683" s="24"/>
      <c r="F683" s="24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7"/>
      <c r="X683" s="17"/>
      <c r="Y683" s="17"/>
      <c r="Z683" s="17"/>
    </row>
    <row r="684" ht="15.75" customHeight="1">
      <c r="A684" s="24"/>
      <c r="B684" s="24"/>
      <c r="C684" s="15"/>
      <c r="D684" s="24"/>
      <c r="E684" s="24"/>
      <c r="F684" s="24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7"/>
      <c r="X684" s="17"/>
      <c r="Y684" s="17"/>
      <c r="Z684" s="17"/>
    </row>
    <row r="685" ht="15.75" customHeight="1">
      <c r="A685" s="24"/>
      <c r="B685" s="24"/>
      <c r="C685" s="15"/>
      <c r="D685" s="24"/>
      <c r="E685" s="24"/>
      <c r="F685" s="24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7"/>
      <c r="X685" s="17"/>
      <c r="Y685" s="17"/>
      <c r="Z685" s="17"/>
    </row>
    <row r="686" ht="15.75" customHeight="1">
      <c r="A686" s="24"/>
      <c r="B686" s="24"/>
      <c r="C686" s="15"/>
      <c r="D686" s="24"/>
      <c r="E686" s="24"/>
      <c r="F686" s="24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7"/>
      <c r="X686" s="17"/>
      <c r="Y686" s="17"/>
      <c r="Z686" s="17"/>
    </row>
    <row r="687" ht="15.75" customHeight="1">
      <c r="A687" s="24"/>
      <c r="B687" s="24"/>
      <c r="C687" s="15"/>
      <c r="D687" s="24"/>
      <c r="E687" s="24"/>
      <c r="F687" s="24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7"/>
      <c r="X687" s="17"/>
      <c r="Y687" s="17"/>
      <c r="Z687" s="17"/>
    </row>
    <row r="688" ht="15.75" customHeight="1">
      <c r="A688" s="24"/>
      <c r="B688" s="24"/>
      <c r="C688" s="15"/>
      <c r="D688" s="24"/>
      <c r="E688" s="24"/>
      <c r="F688" s="24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7"/>
      <c r="X688" s="17"/>
      <c r="Y688" s="17"/>
      <c r="Z688" s="17"/>
    </row>
    <row r="689" ht="15.75" customHeight="1">
      <c r="A689" s="24"/>
      <c r="B689" s="24"/>
      <c r="C689" s="15"/>
      <c r="D689" s="24"/>
      <c r="E689" s="24"/>
      <c r="F689" s="24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7"/>
      <c r="X689" s="17"/>
      <c r="Y689" s="17"/>
      <c r="Z689" s="17"/>
    </row>
    <row r="690" ht="15.75" customHeight="1">
      <c r="A690" s="24"/>
      <c r="B690" s="24"/>
      <c r="C690" s="15"/>
      <c r="D690" s="24"/>
      <c r="E690" s="24"/>
      <c r="F690" s="24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7"/>
      <c r="X690" s="17"/>
      <c r="Y690" s="17"/>
      <c r="Z690" s="17"/>
    </row>
    <row r="691" ht="15.75" customHeight="1">
      <c r="A691" s="24"/>
      <c r="B691" s="24"/>
      <c r="C691" s="15"/>
      <c r="D691" s="24"/>
      <c r="E691" s="24"/>
      <c r="F691" s="24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7"/>
      <c r="X691" s="17"/>
      <c r="Y691" s="17"/>
      <c r="Z691" s="17"/>
    </row>
    <row r="692" ht="15.75" customHeight="1">
      <c r="A692" s="24"/>
      <c r="B692" s="24"/>
      <c r="C692" s="15"/>
      <c r="D692" s="24"/>
      <c r="E692" s="24"/>
      <c r="F692" s="24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7"/>
      <c r="X692" s="17"/>
      <c r="Y692" s="17"/>
      <c r="Z692" s="17"/>
    </row>
    <row r="693" ht="15.75" customHeight="1">
      <c r="A693" s="24"/>
      <c r="B693" s="24"/>
      <c r="C693" s="15"/>
      <c r="D693" s="24"/>
      <c r="E693" s="24"/>
      <c r="F693" s="24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7"/>
      <c r="X693" s="17"/>
      <c r="Y693" s="17"/>
      <c r="Z693" s="17"/>
    </row>
    <row r="694" ht="15.75" customHeight="1">
      <c r="A694" s="24"/>
      <c r="B694" s="24"/>
      <c r="C694" s="15"/>
      <c r="D694" s="24"/>
      <c r="E694" s="24"/>
      <c r="F694" s="24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7"/>
      <c r="X694" s="17"/>
      <c r="Y694" s="17"/>
      <c r="Z694" s="17"/>
    </row>
    <row r="695" ht="15.75" customHeight="1">
      <c r="A695" s="24"/>
      <c r="B695" s="24"/>
      <c r="C695" s="15"/>
      <c r="D695" s="24"/>
      <c r="E695" s="24"/>
      <c r="F695" s="24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7"/>
      <c r="X695" s="17"/>
      <c r="Y695" s="17"/>
      <c r="Z695" s="17"/>
    </row>
    <row r="696" ht="15.75" customHeight="1">
      <c r="A696" s="24"/>
      <c r="B696" s="24"/>
      <c r="C696" s="15"/>
      <c r="D696" s="24"/>
      <c r="E696" s="24"/>
      <c r="F696" s="24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7"/>
      <c r="X696" s="17"/>
      <c r="Y696" s="17"/>
      <c r="Z696" s="17"/>
    </row>
    <row r="697" ht="15.75" customHeight="1">
      <c r="A697" s="24"/>
      <c r="B697" s="24"/>
      <c r="C697" s="15"/>
      <c r="D697" s="24"/>
      <c r="E697" s="24"/>
      <c r="F697" s="24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7"/>
      <c r="X697" s="17"/>
      <c r="Y697" s="17"/>
      <c r="Z697" s="17"/>
    </row>
    <row r="698" ht="15.75" customHeight="1">
      <c r="A698" s="24"/>
      <c r="B698" s="24"/>
      <c r="C698" s="15"/>
      <c r="D698" s="24"/>
      <c r="E698" s="24"/>
      <c r="F698" s="24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7"/>
      <c r="X698" s="17"/>
      <c r="Y698" s="17"/>
      <c r="Z698" s="17"/>
    </row>
    <row r="699" ht="15.75" customHeight="1">
      <c r="A699" s="24"/>
      <c r="B699" s="24"/>
      <c r="C699" s="15"/>
      <c r="D699" s="24"/>
      <c r="E699" s="24"/>
      <c r="F699" s="24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7"/>
      <c r="X699" s="17"/>
      <c r="Y699" s="17"/>
      <c r="Z699" s="17"/>
    </row>
    <row r="700" ht="15.75" customHeight="1">
      <c r="A700" s="24"/>
      <c r="B700" s="24"/>
      <c r="C700" s="15"/>
      <c r="D700" s="24"/>
      <c r="E700" s="24"/>
      <c r="F700" s="24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7"/>
      <c r="X700" s="17"/>
      <c r="Y700" s="17"/>
      <c r="Z700" s="17"/>
    </row>
    <row r="701" ht="15.75" customHeight="1">
      <c r="A701" s="24"/>
      <c r="B701" s="24"/>
      <c r="C701" s="15"/>
      <c r="D701" s="24"/>
      <c r="E701" s="24"/>
      <c r="F701" s="24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7"/>
      <c r="X701" s="17"/>
      <c r="Y701" s="17"/>
      <c r="Z701" s="17"/>
    </row>
    <row r="702" ht="15.75" customHeight="1">
      <c r="A702" s="24"/>
      <c r="B702" s="24"/>
      <c r="C702" s="15"/>
      <c r="D702" s="24"/>
      <c r="E702" s="24"/>
      <c r="F702" s="24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7"/>
      <c r="X702" s="17"/>
      <c r="Y702" s="17"/>
      <c r="Z702" s="17"/>
    </row>
    <row r="703" ht="15.75" customHeight="1">
      <c r="A703" s="24"/>
      <c r="B703" s="24"/>
      <c r="C703" s="15"/>
      <c r="D703" s="24"/>
      <c r="E703" s="24"/>
      <c r="F703" s="24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7"/>
      <c r="X703" s="17"/>
      <c r="Y703" s="17"/>
      <c r="Z703" s="17"/>
    </row>
    <row r="704" ht="15.75" customHeight="1">
      <c r="A704" s="24"/>
      <c r="B704" s="24"/>
      <c r="C704" s="15"/>
      <c r="D704" s="24"/>
      <c r="E704" s="24"/>
      <c r="F704" s="24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7"/>
      <c r="X704" s="17"/>
      <c r="Y704" s="17"/>
      <c r="Z704" s="17"/>
    </row>
    <row r="705" ht="15.75" customHeight="1">
      <c r="A705" s="24"/>
      <c r="B705" s="24"/>
      <c r="C705" s="15"/>
      <c r="D705" s="24"/>
      <c r="E705" s="24"/>
      <c r="F705" s="24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7"/>
      <c r="X705" s="17"/>
      <c r="Y705" s="17"/>
      <c r="Z705" s="17"/>
    </row>
    <row r="706" ht="15.75" customHeight="1">
      <c r="A706" s="24"/>
      <c r="B706" s="24"/>
      <c r="C706" s="15"/>
      <c r="D706" s="24"/>
      <c r="E706" s="24"/>
      <c r="F706" s="24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7"/>
      <c r="X706" s="17"/>
      <c r="Y706" s="17"/>
      <c r="Z706" s="17"/>
    </row>
    <row r="707" ht="15.75" customHeight="1">
      <c r="A707" s="24"/>
      <c r="B707" s="24"/>
      <c r="C707" s="15"/>
      <c r="D707" s="24"/>
      <c r="E707" s="24"/>
      <c r="F707" s="24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7"/>
      <c r="X707" s="17"/>
      <c r="Y707" s="17"/>
      <c r="Z707" s="17"/>
    </row>
    <row r="708" ht="15.75" customHeight="1">
      <c r="A708" s="24"/>
      <c r="B708" s="24"/>
      <c r="C708" s="15"/>
      <c r="D708" s="24"/>
      <c r="E708" s="24"/>
      <c r="F708" s="24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7"/>
      <c r="X708" s="17"/>
      <c r="Y708" s="17"/>
      <c r="Z708" s="17"/>
    </row>
    <row r="709" ht="15.75" customHeight="1">
      <c r="A709" s="24"/>
      <c r="B709" s="24"/>
      <c r="C709" s="15"/>
      <c r="D709" s="24"/>
      <c r="E709" s="24"/>
      <c r="F709" s="24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7"/>
      <c r="X709" s="17"/>
      <c r="Y709" s="17"/>
      <c r="Z709" s="17"/>
    </row>
    <row r="710" ht="15.75" customHeight="1">
      <c r="A710" s="24"/>
      <c r="B710" s="24"/>
      <c r="C710" s="15"/>
      <c r="D710" s="24"/>
      <c r="E710" s="24"/>
      <c r="F710" s="24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7"/>
      <c r="X710" s="17"/>
      <c r="Y710" s="17"/>
      <c r="Z710" s="17"/>
    </row>
    <row r="711" ht="15.75" customHeight="1">
      <c r="A711" s="24"/>
      <c r="B711" s="24"/>
      <c r="C711" s="15"/>
      <c r="D711" s="24"/>
      <c r="E711" s="24"/>
      <c r="F711" s="24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7"/>
      <c r="X711" s="17"/>
      <c r="Y711" s="17"/>
      <c r="Z711" s="17"/>
    </row>
    <row r="712" ht="15.75" customHeight="1">
      <c r="A712" s="24"/>
      <c r="B712" s="24"/>
      <c r="C712" s="15"/>
      <c r="D712" s="24"/>
      <c r="E712" s="24"/>
      <c r="F712" s="24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7"/>
      <c r="X712" s="17"/>
      <c r="Y712" s="17"/>
      <c r="Z712" s="17"/>
    </row>
    <row r="713" ht="15.75" customHeight="1">
      <c r="A713" s="24"/>
      <c r="B713" s="24"/>
      <c r="C713" s="15"/>
      <c r="D713" s="24"/>
      <c r="E713" s="24"/>
      <c r="F713" s="24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7"/>
      <c r="X713" s="17"/>
      <c r="Y713" s="17"/>
      <c r="Z713" s="17"/>
    </row>
    <row r="714" ht="15.75" customHeight="1">
      <c r="A714" s="24"/>
      <c r="B714" s="24"/>
      <c r="C714" s="15"/>
      <c r="D714" s="24"/>
      <c r="E714" s="24"/>
      <c r="F714" s="24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7"/>
      <c r="X714" s="17"/>
      <c r="Y714" s="17"/>
      <c r="Z714" s="17"/>
    </row>
    <row r="715" ht="15.75" customHeight="1">
      <c r="A715" s="24"/>
      <c r="B715" s="24"/>
      <c r="C715" s="15"/>
      <c r="D715" s="24"/>
      <c r="E715" s="24"/>
      <c r="F715" s="24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7"/>
      <c r="X715" s="17"/>
      <c r="Y715" s="17"/>
      <c r="Z715" s="17"/>
    </row>
    <row r="716" ht="15.75" customHeight="1">
      <c r="A716" s="24"/>
      <c r="B716" s="24"/>
      <c r="C716" s="15"/>
      <c r="D716" s="24"/>
      <c r="E716" s="24"/>
      <c r="F716" s="24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7"/>
      <c r="X716" s="17"/>
      <c r="Y716" s="17"/>
      <c r="Z716" s="17"/>
    </row>
    <row r="717" ht="15.75" customHeight="1">
      <c r="A717" s="24"/>
      <c r="B717" s="24"/>
      <c r="C717" s="15"/>
      <c r="D717" s="24"/>
      <c r="E717" s="24"/>
      <c r="F717" s="24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7"/>
      <c r="X717" s="17"/>
      <c r="Y717" s="17"/>
      <c r="Z717" s="17"/>
    </row>
    <row r="718" ht="15.75" customHeight="1">
      <c r="A718" s="24"/>
      <c r="B718" s="24"/>
      <c r="C718" s="15"/>
      <c r="D718" s="24"/>
      <c r="E718" s="24"/>
      <c r="F718" s="24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7"/>
      <c r="X718" s="17"/>
      <c r="Y718" s="17"/>
      <c r="Z718" s="17"/>
    </row>
    <row r="719" ht="15.75" customHeight="1">
      <c r="A719" s="24"/>
      <c r="B719" s="24"/>
      <c r="C719" s="15"/>
      <c r="D719" s="24"/>
      <c r="E719" s="24"/>
      <c r="F719" s="24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7"/>
      <c r="X719" s="17"/>
      <c r="Y719" s="17"/>
      <c r="Z719" s="17"/>
    </row>
    <row r="720" ht="15.75" customHeight="1">
      <c r="A720" s="24"/>
      <c r="B720" s="24"/>
      <c r="C720" s="15"/>
      <c r="D720" s="24"/>
      <c r="E720" s="24"/>
      <c r="F720" s="24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7"/>
      <c r="X720" s="17"/>
      <c r="Y720" s="17"/>
      <c r="Z720" s="17"/>
    </row>
    <row r="721" ht="15.75" customHeight="1">
      <c r="A721" s="24"/>
      <c r="B721" s="24"/>
      <c r="C721" s="15"/>
      <c r="D721" s="24"/>
      <c r="E721" s="24"/>
      <c r="F721" s="24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7"/>
      <c r="X721" s="17"/>
      <c r="Y721" s="17"/>
      <c r="Z721" s="17"/>
    </row>
    <row r="722" ht="15.75" customHeight="1">
      <c r="A722" s="24"/>
      <c r="B722" s="24"/>
      <c r="C722" s="15"/>
      <c r="D722" s="24"/>
      <c r="E722" s="24"/>
      <c r="F722" s="24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7"/>
      <c r="X722" s="17"/>
      <c r="Y722" s="17"/>
      <c r="Z722" s="17"/>
    </row>
    <row r="723" ht="15.75" customHeight="1">
      <c r="A723" s="24"/>
      <c r="B723" s="24"/>
      <c r="C723" s="15"/>
      <c r="D723" s="24"/>
      <c r="E723" s="24"/>
      <c r="F723" s="24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7"/>
      <c r="X723" s="17"/>
      <c r="Y723" s="17"/>
      <c r="Z723" s="17"/>
    </row>
    <row r="724" ht="15.75" customHeight="1">
      <c r="A724" s="24"/>
      <c r="B724" s="24"/>
      <c r="C724" s="15"/>
      <c r="D724" s="24"/>
      <c r="E724" s="24"/>
      <c r="F724" s="24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7"/>
      <c r="X724" s="17"/>
      <c r="Y724" s="17"/>
      <c r="Z724" s="17"/>
    </row>
    <row r="725" ht="15.75" customHeight="1">
      <c r="A725" s="24"/>
      <c r="B725" s="24"/>
      <c r="C725" s="15"/>
      <c r="D725" s="24"/>
      <c r="E725" s="24"/>
      <c r="F725" s="24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7"/>
      <c r="X725" s="17"/>
      <c r="Y725" s="17"/>
      <c r="Z725" s="17"/>
    </row>
    <row r="726" ht="15.75" customHeight="1">
      <c r="A726" s="24"/>
      <c r="B726" s="24"/>
      <c r="C726" s="15"/>
      <c r="D726" s="24"/>
      <c r="E726" s="24"/>
      <c r="F726" s="24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7"/>
      <c r="X726" s="17"/>
      <c r="Y726" s="17"/>
      <c r="Z726" s="17"/>
    </row>
    <row r="727" ht="15.75" customHeight="1">
      <c r="A727" s="24"/>
      <c r="B727" s="24"/>
      <c r="C727" s="15"/>
      <c r="D727" s="24"/>
      <c r="E727" s="24"/>
      <c r="F727" s="24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7"/>
      <c r="X727" s="17"/>
      <c r="Y727" s="17"/>
      <c r="Z727" s="17"/>
    </row>
    <row r="728" ht="15.75" customHeight="1">
      <c r="A728" s="24"/>
      <c r="B728" s="24"/>
      <c r="C728" s="15"/>
      <c r="D728" s="24"/>
      <c r="E728" s="24"/>
      <c r="F728" s="24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7"/>
      <c r="X728" s="17"/>
      <c r="Y728" s="17"/>
      <c r="Z728" s="17"/>
    </row>
    <row r="729" ht="15.75" customHeight="1">
      <c r="A729" s="24"/>
      <c r="B729" s="24"/>
      <c r="C729" s="15"/>
      <c r="D729" s="24"/>
      <c r="E729" s="24"/>
      <c r="F729" s="24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7"/>
      <c r="X729" s="17"/>
      <c r="Y729" s="17"/>
      <c r="Z729" s="17"/>
    </row>
    <row r="730" ht="15.75" customHeight="1">
      <c r="A730" s="24"/>
      <c r="B730" s="24"/>
      <c r="C730" s="15"/>
      <c r="D730" s="24"/>
      <c r="E730" s="24"/>
      <c r="F730" s="24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7"/>
      <c r="X730" s="17"/>
      <c r="Y730" s="17"/>
      <c r="Z730" s="17"/>
    </row>
    <row r="731" ht="15.75" customHeight="1">
      <c r="A731" s="24"/>
      <c r="B731" s="24"/>
      <c r="C731" s="15"/>
      <c r="D731" s="24"/>
      <c r="E731" s="24"/>
      <c r="F731" s="24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7"/>
      <c r="X731" s="17"/>
      <c r="Y731" s="17"/>
      <c r="Z731" s="17"/>
    </row>
    <row r="732" ht="15.75" customHeight="1">
      <c r="A732" s="24"/>
      <c r="B732" s="24"/>
      <c r="C732" s="15"/>
      <c r="D732" s="24"/>
      <c r="E732" s="24"/>
      <c r="F732" s="24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7"/>
      <c r="X732" s="17"/>
      <c r="Y732" s="17"/>
      <c r="Z732" s="17"/>
    </row>
    <row r="733" ht="15.75" customHeight="1">
      <c r="A733" s="24"/>
      <c r="B733" s="24"/>
      <c r="C733" s="15"/>
      <c r="D733" s="24"/>
      <c r="E733" s="24"/>
      <c r="F733" s="24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7"/>
      <c r="X733" s="17"/>
      <c r="Y733" s="17"/>
      <c r="Z733" s="17"/>
    </row>
    <row r="734" ht="15.75" customHeight="1">
      <c r="A734" s="24"/>
      <c r="B734" s="24"/>
      <c r="C734" s="15"/>
      <c r="D734" s="24"/>
      <c r="E734" s="24"/>
      <c r="F734" s="24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7"/>
      <c r="X734" s="17"/>
      <c r="Y734" s="17"/>
      <c r="Z734" s="17"/>
    </row>
    <row r="735" ht="15.75" customHeight="1">
      <c r="A735" s="24"/>
      <c r="B735" s="24"/>
      <c r="C735" s="15"/>
      <c r="D735" s="24"/>
      <c r="E735" s="24"/>
      <c r="F735" s="24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7"/>
      <c r="X735" s="17"/>
      <c r="Y735" s="17"/>
      <c r="Z735" s="17"/>
    </row>
    <row r="736" ht="15.75" customHeight="1">
      <c r="A736" s="24"/>
      <c r="B736" s="24"/>
      <c r="C736" s="15"/>
      <c r="D736" s="24"/>
      <c r="E736" s="24"/>
      <c r="F736" s="24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7"/>
      <c r="X736" s="17"/>
      <c r="Y736" s="17"/>
      <c r="Z736" s="17"/>
    </row>
    <row r="737" ht="15.75" customHeight="1">
      <c r="A737" s="24"/>
      <c r="B737" s="24"/>
      <c r="C737" s="15"/>
      <c r="D737" s="24"/>
      <c r="E737" s="24"/>
      <c r="F737" s="24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7"/>
      <c r="X737" s="17"/>
      <c r="Y737" s="17"/>
      <c r="Z737" s="17"/>
    </row>
    <row r="738" ht="15.75" customHeight="1">
      <c r="A738" s="24"/>
      <c r="B738" s="24"/>
      <c r="C738" s="15"/>
      <c r="D738" s="24"/>
      <c r="E738" s="24"/>
      <c r="F738" s="24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7"/>
      <c r="X738" s="17"/>
      <c r="Y738" s="17"/>
      <c r="Z738" s="17"/>
    </row>
    <row r="739" ht="15.75" customHeight="1">
      <c r="A739" s="24"/>
      <c r="B739" s="24"/>
      <c r="C739" s="15"/>
      <c r="D739" s="24"/>
      <c r="E739" s="24"/>
      <c r="F739" s="24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7"/>
      <c r="X739" s="17"/>
      <c r="Y739" s="17"/>
      <c r="Z739" s="17"/>
    </row>
    <row r="740" ht="15.75" customHeight="1">
      <c r="A740" s="24"/>
      <c r="B740" s="24"/>
      <c r="C740" s="15"/>
      <c r="D740" s="24"/>
      <c r="E740" s="24"/>
      <c r="F740" s="24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7"/>
      <c r="X740" s="17"/>
      <c r="Y740" s="17"/>
      <c r="Z740" s="17"/>
    </row>
    <row r="741" ht="15.75" customHeight="1">
      <c r="A741" s="24"/>
      <c r="B741" s="24"/>
      <c r="C741" s="15"/>
      <c r="D741" s="24"/>
      <c r="E741" s="24"/>
      <c r="F741" s="24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7"/>
      <c r="X741" s="17"/>
      <c r="Y741" s="17"/>
      <c r="Z741" s="17"/>
    </row>
    <row r="742" ht="15.75" customHeight="1">
      <c r="A742" s="24"/>
      <c r="B742" s="24"/>
      <c r="C742" s="15"/>
      <c r="D742" s="24"/>
      <c r="E742" s="24"/>
      <c r="F742" s="24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7"/>
      <c r="X742" s="17"/>
      <c r="Y742" s="17"/>
      <c r="Z742" s="17"/>
    </row>
    <row r="743" ht="15.75" customHeight="1">
      <c r="A743" s="24"/>
      <c r="B743" s="24"/>
      <c r="C743" s="15"/>
      <c r="D743" s="24"/>
      <c r="E743" s="24"/>
      <c r="F743" s="24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7"/>
      <c r="X743" s="17"/>
      <c r="Y743" s="17"/>
      <c r="Z743" s="17"/>
    </row>
    <row r="744" ht="15.75" customHeight="1">
      <c r="A744" s="24"/>
      <c r="B744" s="24"/>
      <c r="C744" s="15"/>
      <c r="D744" s="24"/>
      <c r="E744" s="24"/>
      <c r="F744" s="24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7"/>
      <c r="X744" s="17"/>
      <c r="Y744" s="17"/>
      <c r="Z744" s="17"/>
    </row>
    <row r="745" ht="15.75" customHeight="1">
      <c r="A745" s="24"/>
      <c r="B745" s="24"/>
      <c r="C745" s="15"/>
      <c r="D745" s="24"/>
      <c r="E745" s="24"/>
      <c r="F745" s="24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7"/>
      <c r="X745" s="17"/>
      <c r="Y745" s="17"/>
      <c r="Z745" s="17"/>
    </row>
    <row r="746" ht="15.75" customHeight="1">
      <c r="A746" s="24"/>
      <c r="B746" s="24"/>
      <c r="C746" s="15"/>
      <c r="D746" s="24"/>
      <c r="E746" s="24"/>
      <c r="F746" s="24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7"/>
      <c r="X746" s="17"/>
      <c r="Y746" s="17"/>
      <c r="Z746" s="17"/>
    </row>
    <row r="747" ht="15.75" customHeight="1">
      <c r="A747" s="24"/>
      <c r="B747" s="24"/>
      <c r="C747" s="15"/>
      <c r="D747" s="24"/>
      <c r="E747" s="24"/>
      <c r="F747" s="24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7"/>
      <c r="X747" s="17"/>
      <c r="Y747" s="17"/>
      <c r="Z747" s="17"/>
    </row>
    <row r="748" ht="15.75" customHeight="1">
      <c r="A748" s="24"/>
      <c r="B748" s="24"/>
      <c r="C748" s="15"/>
      <c r="D748" s="24"/>
      <c r="E748" s="24"/>
      <c r="F748" s="24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7"/>
      <c r="X748" s="17"/>
      <c r="Y748" s="17"/>
      <c r="Z748" s="17"/>
    </row>
    <row r="749" ht="15.75" customHeight="1">
      <c r="A749" s="24"/>
      <c r="B749" s="24"/>
      <c r="C749" s="15"/>
      <c r="D749" s="24"/>
      <c r="E749" s="24"/>
      <c r="F749" s="24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7"/>
      <c r="X749" s="17"/>
      <c r="Y749" s="17"/>
      <c r="Z749" s="17"/>
    </row>
    <row r="750" ht="15.75" customHeight="1">
      <c r="A750" s="24"/>
      <c r="B750" s="24"/>
      <c r="C750" s="15"/>
      <c r="D750" s="24"/>
      <c r="E750" s="24"/>
      <c r="F750" s="24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7"/>
      <c r="X750" s="17"/>
      <c r="Y750" s="17"/>
      <c r="Z750" s="17"/>
    </row>
    <row r="751" ht="15.75" customHeight="1">
      <c r="A751" s="24"/>
      <c r="B751" s="24"/>
      <c r="C751" s="15"/>
      <c r="D751" s="24"/>
      <c r="E751" s="24"/>
      <c r="F751" s="24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7"/>
      <c r="X751" s="17"/>
      <c r="Y751" s="17"/>
      <c r="Z751" s="17"/>
    </row>
    <row r="752" ht="15.75" customHeight="1">
      <c r="A752" s="24"/>
      <c r="B752" s="24"/>
      <c r="C752" s="15"/>
      <c r="D752" s="24"/>
      <c r="E752" s="24"/>
      <c r="F752" s="24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7"/>
      <c r="X752" s="17"/>
      <c r="Y752" s="17"/>
      <c r="Z752" s="17"/>
    </row>
    <row r="753" ht="15.75" customHeight="1">
      <c r="A753" s="24"/>
      <c r="B753" s="24"/>
      <c r="C753" s="15"/>
      <c r="D753" s="24"/>
      <c r="E753" s="24"/>
      <c r="F753" s="24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7"/>
      <c r="X753" s="17"/>
      <c r="Y753" s="17"/>
      <c r="Z753" s="17"/>
    </row>
    <row r="754" ht="15.75" customHeight="1">
      <c r="A754" s="24"/>
      <c r="B754" s="24"/>
      <c r="C754" s="15"/>
      <c r="D754" s="24"/>
      <c r="E754" s="24"/>
      <c r="F754" s="24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7"/>
      <c r="X754" s="17"/>
      <c r="Y754" s="17"/>
      <c r="Z754" s="17"/>
    </row>
    <row r="755" ht="15.75" customHeight="1">
      <c r="A755" s="24"/>
      <c r="B755" s="24"/>
      <c r="C755" s="15"/>
      <c r="D755" s="24"/>
      <c r="E755" s="24"/>
      <c r="F755" s="24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7"/>
      <c r="X755" s="17"/>
      <c r="Y755" s="17"/>
      <c r="Z755" s="17"/>
    </row>
    <row r="756" ht="15.75" customHeight="1">
      <c r="A756" s="24"/>
      <c r="B756" s="24"/>
      <c r="C756" s="15"/>
      <c r="D756" s="24"/>
      <c r="E756" s="24"/>
      <c r="F756" s="24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7"/>
      <c r="X756" s="17"/>
      <c r="Y756" s="17"/>
      <c r="Z756" s="17"/>
    </row>
    <row r="757" ht="15.75" customHeight="1">
      <c r="A757" s="24"/>
      <c r="B757" s="24"/>
      <c r="C757" s="15"/>
      <c r="D757" s="24"/>
      <c r="E757" s="24"/>
      <c r="F757" s="24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7"/>
      <c r="X757" s="17"/>
      <c r="Y757" s="17"/>
      <c r="Z757" s="17"/>
    </row>
    <row r="758" ht="15.75" customHeight="1">
      <c r="A758" s="24"/>
      <c r="B758" s="24"/>
      <c r="C758" s="15"/>
      <c r="D758" s="24"/>
      <c r="E758" s="24"/>
      <c r="F758" s="24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7"/>
      <c r="X758" s="17"/>
      <c r="Y758" s="17"/>
      <c r="Z758" s="17"/>
    </row>
    <row r="759" ht="15.75" customHeight="1">
      <c r="A759" s="24"/>
      <c r="B759" s="24"/>
      <c r="C759" s="15"/>
      <c r="D759" s="24"/>
      <c r="E759" s="24"/>
      <c r="F759" s="24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7"/>
      <c r="X759" s="17"/>
      <c r="Y759" s="17"/>
      <c r="Z759" s="17"/>
    </row>
    <row r="760" ht="15.75" customHeight="1">
      <c r="A760" s="24"/>
      <c r="B760" s="24"/>
      <c r="C760" s="15"/>
      <c r="D760" s="24"/>
      <c r="E760" s="24"/>
      <c r="F760" s="24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7"/>
      <c r="X760" s="17"/>
      <c r="Y760" s="17"/>
      <c r="Z760" s="17"/>
    </row>
    <row r="761" ht="15.75" customHeight="1">
      <c r="A761" s="24"/>
      <c r="B761" s="24"/>
      <c r="C761" s="15"/>
      <c r="D761" s="24"/>
      <c r="E761" s="24"/>
      <c r="F761" s="24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7"/>
      <c r="X761" s="17"/>
      <c r="Y761" s="17"/>
      <c r="Z761" s="17"/>
    </row>
    <row r="762" ht="15.75" customHeight="1">
      <c r="A762" s="24"/>
      <c r="B762" s="24"/>
      <c r="C762" s="15"/>
      <c r="D762" s="24"/>
      <c r="E762" s="24"/>
      <c r="F762" s="24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7"/>
      <c r="X762" s="17"/>
      <c r="Y762" s="17"/>
      <c r="Z762" s="17"/>
    </row>
    <row r="763" ht="15.75" customHeight="1">
      <c r="A763" s="24"/>
      <c r="B763" s="24"/>
      <c r="C763" s="15"/>
      <c r="D763" s="24"/>
      <c r="E763" s="24"/>
      <c r="F763" s="24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7"/>
      <c r="X763" s="17"/>
      <c r="Y763" s="17"/>
      <c r="Z763" s="17"/>
    </row>
    <row r="764" ht="15.75" customHeight="1">
      <c r="A764" s="24"/>
      <c r="B764" s="24"/>
      <c r="C764" s="15"/>
      <c r="D764" s="24"/>
      <c r="E764" s="24"/>
      <c r="F764" s="24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7"/>
      <c r="X764" s="17"/>
      <c r="Y764" s="17"/>
      <c r="Z764" s="17"/>
    </row>
    <row r="765" ht="15.75" customHeight="1">
      <c r="A765" s="24"/>
      <c r="B765" s="24"/>
      <c r="C765" s="15"/>
      <c r="D765" s="24"/>
      <c r="E765" s="24"/>
      <c r="F765" s="24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7"/>
      <c r="X765" s="17"/>
      <c r="Y765" s="17"/>
      <c r="Z765" s="17"/>
    </row>
    <row r="766" ht="15.75" customHeight="1">
      <c r="A766" s="24"/>
      <c r="B766" s="24"/>
      <c r="C766" s="15"/>
      <c r="D766" s="24"/>
      <c r="E766" s="24"/>
      <c r="F766" s="24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7"/>
      <c r="X766" s="17"/>
      <c r="Y766" s="17"/>
      <c r="Z766" s="17"/>
    </row>
    <row r="767" ht="15.75" customHeight="1">
      <c r="A767" s="24"/>
      <c r="B767" s="24"/>
      <c r="C767" s="15"/>
      <c r="D767" s="24"/>
      <c r="E767" s="24"/>
      <c r="F767" s="24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7"/>
      <c r="X767" s="17"/>
      <c r="Y767" s="17"/>
      <c r="Z767" s="17"/>
    </row>
    <row r="768" ht="15.75" customHeight="1">
      <c r="A768" s="24"/>
      <c r="B768" s="24"/>
      <c r="C768" s="15"/>
      <c r="D768" s="24"/>
      <c r="E768" s="24"/>
      <c r="F768" s="24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7"/>
      <c r="X768" s="17"/>
      <c r="Y768" s="17"/>
      <c r="Z768" s="17"/>
    </row>
    <row r="769" ht="15.75" customHeight="1">
      <c r="A769" s="24"/>
      <c r="B769" s="24"/>
      <c r="C769" s="15"/>
      <c r="D769" s="24"/>
      <c r="E769" s="24"/>
      <c r="F769" s="24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7"/>
      <c r="X769" s="17"/>
      <c r="Y769" s="17"/>
      <c r="Z769" s="17"/>
    </row>
    <row r="770" ht="15.75" customHeight="1">
      <c r="A770" s="24"/>
      <c r="B770" s="24"/>
      <c r="C770" s="15"/>
      <c r="D770" s="24"/>
      <c r="E770" s="24"/>
      <c r="F770" s="24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7"/>
      <c r="X770" s="17"/>
      <c r="Y770" s="17"/>
      <c r="Z770" s="17"/>
    </row>
    <row r="771" ht="15.75" customHeight="1">
      <c r="A771" s="24"/>
      <c r="B771" s="24"/>
      <c r="C771" s="15"/>
      <c r="D771" s="24"/>
      <c r="E771" s="24"/>
      <c r="F771" s="24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7"/>
      <c r="X771" s="17"/>
      <c r="Y771" s="17"/>
      <c r="Z771" s="17"/>
    </row>
    <row r="772" ht="15.75" customHeight="1">
      <c r="A772" s="24"/>
      <c r="B772" s="24"/>
      <c r="C772" s="15"/>
      <c r="D772" s="24"/>
      <c r="E772" s="24"/>
      <c r="F772" s="24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7"/>
      <c r="X772" s="17"/>
      <c r="Y772" s="17"/>
      <c r="Z772" s="17"/>
    </row>
    <row r="773" ht="15.75" customHeight="1">
      <c r="A773" s="24"/>
      <c r="B773" s="24"/>
      <c r="C773" s="15"/>
      <c r="D773" s="24"/>
      <c r="E773" s="24"/>
      <c r="F773" s="24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7"/>
      <c r="X773" s="17"/>
      <c r="Y773" s="17"/>
      <c r="Z773" s="17"/>
    </row>
    <row r="774" ht="15.75" customHeight="1">
      <c r="A774" s="24"/>
      <c r="B774" s="24"/>
      <c r="C774" s="15"/>
      <c r="D774" s="24"/>
      <c r="E774" s="24"/>
      <c r="F774" s="24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7"/>
      <c r="X774" s="17"/>
      <c r="Y774" s="17"/>
      <c r="Z774" s="17"/>
    </row>
    <row r="775" ht="15.75" customHeight="1">
      <c r="A775" s="24"/>
      <c r="B775" s="24"/>
      <c r="C775" s="15"/>
      <c r="D775" s="24"/>
      <c r="E775" s="24"/>
      <c r="F775" s="24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7"/>
      <c r="X775" s="17"/>
      <c r="Y775" s="17"/>
      <c r="Z775" s="17"/>
    </row>
    <row r="776" ht="15.75" customHeight="1">
      <c r="A776" s="24"/>
      <c r="B776" s="24"/>
      <c r="C776" s="15"/>
      <c r="D776" s="24"/>
      <c r="E776" s="24"/>
      <c r="F776" s="24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7"/>
      <c r="X776" s="17"/>
      <c r="Y776" s="17"/>
      <c r="Z776" s="17"/>
    </row>
    <row r="777" ht="15.75" customHeight="1">
      <c r="A777" s="24"/>
      <c r="B777" s="24"/>
      <c r="C777" s="15"/>
      <c r="D777" s="24"/>
      <c r="E777" s="24"/>
      <c r="F777" s="24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7"/>
      <c r="X777" s="17"/>
      <c r="Y777" s="17"/>
      <c r="Z777" s="17"/>
    </row>
    <row r="778" ht="15.75" customHeight="1">
      <c r="A778" s="24"/>
      <c r="B778" s="24"/>
      <c r="C778" s="15"/>
      <c r="D778" s="24"/>
      <c r="E778" s="24"/>
      <c r="F778" s="24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7"/>
      <c r="X778" s="17"/>
      <c r="Y778" s="17"/>
      <c r="Z778" s="17"/>
    </row>
    <row r="779" ht="15.75" customHeight="1">
      <c r="A779" s="24"/>
      <c r="B779" s="24"/>
      <c r="C779" s="15"/>
      <c r="D779" s="24"/>
      <c r="E779" s="24"/>
      <c r="F779" s="24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7"/>
      <c r="X779" s="17"/>
      <c r="Y779" s="17"/>
      <c r="Z779" s="17"/>
    </row>
    <row r="780" ht="15.75" customHeight="1">
      <c r="A780" s="24"/>
      <c r="B780" s="24"/>
      <c r="C780" s="15"/>
      <c r="D780" s="24"/>
      <c r="E780" s="24"/>
      <c r="F780" s="24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7"/>
      <c r="X780" s="17"/>
      <c r="Y780" s="17"/>
      <c r="Z780" s="17"/>
    </row>
    <row r="781" ht="15.75" customHeight="1">
      <c r="A781" s="24"/>
      <c r="B781" s="24"/>
      <c r="C781" s="15"/>
      <c r="D781" s="24"/>
      <c r="E781" s="24"/>
      <c r="F781" s="24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7"/>
      <c r="X781" s="17"/>
      <c r="Y781" s="17"/>
      <c r="Z781" s="17"/>
    </row>
    <row r="782" ht="15.75" customHeight="1">
      <c r="A782" s="24"/>
      <c r="B782" s="24"/>
      <c r="C782" s="15"/>
      <c r="D782" s="24"/>
      <c r="E782" s="24"/>
      <c r="F782" s="24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7"/>
      <c r="X782" s="17"/>
      <c r="Y782" s="17"/>
      <c r="Z782" s="17"/>
    </row>
    <row r="783" ht="15.75" customHeight="1">
      <c r="A783" s="24"/>
      <c r="B783" s="24"/>
      <c r="C783" s="15"/>
      <c r="D783" s="24"/>
      <c r="E783" s="24"/>
      <c r="F783" s="24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7"/>
      <c r="X783" s="17"/>
      <c r="Y783" s="17"/>
      <c r="Z783" s="17"/>
    </row>
    <row r="784" ht="15.75" customHeight="1">
      <c r="A784" s="24"/>
      <c r="B784" s="24"/>
      <c r="C784" s="15"/>
      <c r="D784" s="24"/>
      <c r="E784" s="24"/>
      <c r="F784" s="24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7"/>
      <c r="X784" s="17"/>
      <c r="Y784" s="17"/>
      <c r="Z784" s="17"/>
    </row>
    <row r="785" ht="15.75" customHeight="1">
      <c r="A785" s="24"/>
      <c r="B785" s="24"/>
      <c r="C785" s="15"/>
      <c r="D785" s="24"/>
      <c r="E785" s="24"/>
      <c r="F785" s="24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7"/>
      <c r="X785" s="17"/>
      <c r="Y785" s="17"/>
      <c r="Z785" s="17"/>
    </row>
    <row r="786" ht="15.75" customHeight="1">
      <c r="A786" s="24"/>
      <c r="B786" s="24"/>
      <c r="C786" s="15"/>
      <c r="D786" s="24"/>
      <c r="E786" s="24"/>
      <c r="F786" s="24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7"/>
      <c r="X786" s="17"/>
      <c r="Y786" s="17"/>
      <c r="Z786" s="17"/>
    </row>
    <row r="787" ht="15.75" customHeight="1">
      <c r="A787" s="24"/>
      <c r="B787" s="24"/>
      <c r="C787" s="15"/>
      <c r="D787" s="24"/>
      <c r="E787" s="24"/>
      <c r="F787" s="24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7"/>
      <c r="X787" s="17"/>
      <c r="Y787" s="17"/>
      <c r="Z787" s="17"/>
    </row>
    <row r="788" ht="15.75" customHeight="1">
      <c r="A788" s="24"/>
      <c r="B788" s="24"/>
      <c r="C788" s="15"/>
      <c r="D788" s="24"/>
      <c r="E788" s="24"/>
      <c r="F788" s="24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7"/>
      <c r="X788" s="17"/>
      <c r="Y788" s="17"/>
      <c r="Z788" s="17"/>
    </row>
    <row r="789" ht="15.75" customHeight="1">
      <c r="A789" s="24"/>
      <c r="B789" s="24"/>
      <c r="C789" s="15"/>
      <c r="D789" s="24"/>
      <c r="E789" s="24"/>
      <c r="F789" s="24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7"/>
      <c r="X789" s="17"/>
      <c r="Y789" s="17"/>
      <c r="Z789" s="17"/>
    </row>
    <row r="790" ht="15.75" customHeight="1">
      <c r="A790" s="24"/>
      <c r="B790" s="24"/>
      <c r="C790" s="15"/>
      <c r="D790" s="24"/>
      <c r="E790" s="24"/>
      <c r="F790" s="24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7"/>
      <c r="X790" s="17"/>
      <c r="Y790" s="17"/>
      <c r="Z790" s="17"/>
    </row>
    <row r="791" ht="15.75" customHeight="1">
      <c r="A791" s="24"/>
      <c r="B791" s="24"/>
      <c r="C791" s="15"/>
      <c r="D791" s="24"/>
      <c r="E791" s="24"/>
      <c r="F791" s="24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7"/>
      <c r="X791" s="17"/>
      <c r="Y791" s="17"/>
      <c r="Z791" s="17"/>
    </row>
    <row r="792" ht="15.75" customHeight="1">
      <c r="A792" s="24"/>
      <c r="B792" s="24"/>
      <c r="C792" s="15"/>
      <c r="D792" s="24"/>
      <c r="E792" s="24"/>
      <c r="F792" s="24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7"/>
      <c r="X792" s="17"/>
      <c r="Y792" s="17"/>
      <c r="Z792" s="17"/>
    </row>
    <row r="793" ht="15.75" customHeight="1">
      <c r="A793" s="24"/>
      <c r="B793" s="24"/>
      <c r="C793" s="15"/>
      <c r="D793" s="24"/>
      <c r="E793" s="24"/>
      <c r="F793" s="24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7"/>
      <c r="X793" s="17"/>
      <c r="Y793" s="17"/>
      <c r="Z793" s="17"/>
    </row>
    <row r="794" ht="15.75" customHeight="1">
      <c r="A794" s="24"/>
      <c r="B794" s="24"/>
      <c r="C794" s="15"/>
      <c r="D794" s="24"/>
      <c r="E794" s="24"/>
      <c r="F794" s="24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7"/>
      <c r="X794" s="17"/>
      <c r="Y794" s="17"/>
      <c r="Z794" s="17"/>
    </row>
    <row r="795" ht="15.75" customHeight="1">
      <c r="A795" s="24"/>
      <c r="B795" s="24"/>
      <c r="C795" s="15"/>
      <c r="D795" s="24"/>
      <c r="E795" s="24"/>
      <c r="F795" s="24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7"/>
      <c r="X795" s="17"/>
      <c r="Y795" s="17"/>
      <c r="Z795" s="17"/>
    </row>
    <row r="796" ht="15.75" customHeight="1">
      <c r="A796" s="24"/>
      <c r="B796" s="24"/>
      <c r="C796" s="15"/>
      <c r="D796" s="24"/>
      <c r="E796" s="24"/>
      <c r="F796" s="24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7"/>
      <c r="X796" s="17"/>
      <c r="Y796" s="17"/>
      <c r="Z796" s="17"/>
    </row>
    <row r="797" ht="15.75" customHeight="1">
      <c r="A797" s="24"/>
      <c r="B797" s="24"/>
      <c r="C797" s="15"/>
      <c r="D797" s="24"/>
      <c r="E797" s="24"/>
      <c r="F797" s="24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7"/>
      <c r="X797" s="17"/>
      <c r="Y797" s="17"/>
      <c r="Z797" s="17"/>
    </row>
    <row r="798" ht="15.75" customHeight="1">
      <c r="A798" s="24"/>
      <c r="B798" s="24"/>
      <c r="C798" s="15"/>
      <c r="D798" s="24"/>
      <c r="E798" s="24"/>
      <c r="F798" s="24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7"/>
      <c r="X798" s="17"/>
      <c r="Y798" s="17"/>
      <c r="Z798" s="17"/>
    </row>
    <row r="799" ht="15.75" customHeight="1">
      <c r="A799" s="24"/>
      <c r="B799" s="24"/>
      <c r="C799" s="15"/>
      <c r="D799" s="24"/>
      <c r="E799" s="24"/>
      <c r="F799" s="24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7"/>
      <c r="X799" s="17"/>
      <c r="Y799" s="17"/>
      <c r="Z799" s="17"/>
    </row>
    <row r="800" ht="15.75" customHeight="1">
      <c r="A800" s="24"/>
      <c r="B800" s="24"/>
      <c r="C800" s="15"/>
      <c r="D800" s="24"/>
      <c r="E800" s="24"/>
      <c r="F800" s="24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7"/>
      <c r="X800" s="17"/>
      <c r="Y800" s="17"/>
      <c r="Z800" s="17"/>
    </row>
    <row r="801" ht="15.75" customHeight="1">
      <c r="A801" s="24"/>
      <c r="B801" s="24"/>
      <c r="C801" s="15"/>
      <c r="D801" s="24"/>
      <c r="E801" s="24"/>
      <c r="F801" s="24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7"/>
      <c r="X801" s="17"/>
      <c r="Y801" s="17"/>
      <c r="Z801" s="17"/>
    </row>
    <row r="802" ht="15.75" customHeight="1">
      <c r="A802" s="24"/>
      <c r="B802" s="24"/>
      <c r="C802" s="15"/>
      <c r="D802" s="24"/>
      <c r="E802" s="24"/>
      <c r="F802" s="24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7"/>
      <c r="X802" s="17"/>
      <c r="Y802" s="17"/>
      <c r="Z802" s="17"/>
    </row>
    <row r="803" ht="15.75" customHeight="1">
      <c r="A803" s="24"/>
      <c r="B803" s="24"/>
      <c r="C803" s="15"/>
      <c r="D803" s="24"/>
      <c r="E803" s="24"/>
      <c r="F803" s="24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7"/>
      <c r="X803" s="17"/>
      <c r="Y803" s="17"/>
      <c r="Z803" s="17"/>
    </row>
    <row r="804" ht="15.75" customHeight="1">
      <c r="A804" s="24"/>
      <c r="B804" s="24"/>
      <c r="C804" s="15"/>
      <c r="D804" s="24"/>
      <c r="E804" s="24"/>
      <c r="F804" s="24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7"/>
      <c r="X804" s="17"/>
      <c r="Y804" s="17"/>
      <c r="Z804" s="17"/>
    </row>
    <row r="805" ht="15.75" customHeight="1">
      <c r="A805" s="24"/>
      <c r="B805" s="24"/>
      <c r="C805" s="15"/>
      <c r="D805" s="24"/>
      <c r="E805" s="24"/>
      <c r="F805" s="24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7"/>
      <c r="X805" s="17"/>
      <c r="Y805" s="17"/>
      <c r="Z805" s="17"/>
    </row>
    <row r="806" ht="15.75" customHeight="1">
      <c r="A806" s="24"/>
      <c r="B806" s="24"/>
      <c r="C806" s="15"/>
      <c r="D806" s="24"/>
      <c r="E806" s="24"/>
      <c r="F806" s="24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7"/>
      <c r="X806" s="17"/>
      <c r="Y806" s="17"/>
      <c r="Z806" s="17"/>
    </row>
    <row r="807" ht="15.75" customHeight="1">
      <c r="A807" s="24"/>
      <c r="B807" s="24"/>
      <c r="C807" s="15"/>
      <c r="D807" s="24"/>
      <c r="E807" s="24"/>
      <c r="F807" s="24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7"/>
      <c r="X807" s="17"/>
      <c r="Y807" s="17"/>
      <c r="Z807" s="17"/>
    </row>
    <row r="808" ht="15.75" customHeight="1">
      <c r="A808" s="24"/>
      <c r="B808" s="24"/>
      <c r="C808" s="15"/>
      <c r="D808" s="24"/>
      <c r="E808" s="24"/>
      <c r="F808" s="24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7"/>
      <c r="X808" s="17"/>
      <c r="Y808" s="17"/>
      <c r="Z808" s="17"/>
    </row>
    <row r="809" ht="15.75" customHeight="1">
      <c r="A809" s="24"/>
      <c r="B809" s="24"/>
      <c r="C809" s="15"/>
      <c r="D809" s="24"/>
      <c r="E809" s="24"/>
      <c r="F809" s="24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7"/>
      <c r="X809" s="17"/>
      <c r="Y809" s="17"/>
      <c r="Z809" s="17"/>
    </row>
    <row r="810" ht="15.75" customHeight="1">
      <c r="A810" s="24"/>
      <c r="B810" s="24"/>
      <c r="C810" s="15"/>
      <c r="D810" s="24"/>
      <c r="E810" s="24"/>
      <c r="F810" s="24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7"/>
      <c r="X810" s="17"/>
      <c r="Y810" s="17"/>
      <c r="Z810" s="17"/>
    </row>
    <row r="811" ht="15.75" customHeight="1">
      <c r="A811" s="24"/>
      <c r="B811" s="24"/>
      <c r="C811" s="15"/>
      <c r="D811" s="24"/>
      <c r="E811" s="24"/>
      <c r="F811" s="24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7"/>
      <c r="X811" s="17"/>
      <c r="Y811" s="17"/>
      <c r="Z811" s="17"/>
    </row>
    <row r="812" ht="15.75" customHeight="1">
      <c r="A812" s="24"/>
      <c r="B812" s="24"/>
      <c r="C812" s="15"/>
      <c r="D812" s="24"/>
      <c r="E812" s="24"/>
      <c r="F812" s="24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7"/>
      <c r="X812" s="17"/>
      <c r="Y812" s="17"/>
      <c r="Z812" s="17"/>
    </row>
    <row r="813" ht="15.75" customHeight="1">
      <c r="A813" s="24"/>
      <c r="B813" s="24"/>
      <c r="C813" s="15"/>
      <c r="D813" s="24"/>
      <c r="E813" s="24"/>
      <c r="F813" s="24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7"/>
      <c r="X813" s="17"/>
      <c r="Y813" s="17"/>
      <c r="Z813" s="17"/>
    </row>
    <row r="814" ht="15.75" customHeight="1">
      <c r="A814" s="24"/>
      <c r="B814" s="24"/>
      <c r="C814" s="15"/>
      <c r="D814" s="24"/>
      <c r="E814" s="24"/>
      <c r="F814" s="24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7"/>
      <c r="X814" s="17"/>
      <c r="Y814" s="17"/>
      <c r="Z814" s="17"/>
    </row>
    <row r="815" ht="15.75" customHeight="1">
      <c r="A815" s="24"/>
      <c r="B815" s="24"/>
      <c r="C815" s="15"/>
      <c r="D815" s="24"/>
      <c r="E815" s="24"/>
      <c r="F815" s="24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7"/>
      <c r="X815" s="17"/>
      <c r="Y815" s="17"/>
      <c r="Z815" s="17"/>
    </row>
    <row r="816" ht="15.75" customHeight="1">
      <c r="A816" s="24"/>
      <c r="B816" s="24"/>
      <c r="C816" s="15"/>
      <c r="D816" s="24"/>
      <c r="E816" s="24"/>
      <c r="F816" s="24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7"/>
      <c r="X816" s="17"/>
      <c r="Y816" s="17"/>
      <c r="Z816" s="17"/>
    </row>
    <row r="817" ht="15.75" customHeight="1">
      <c r="A817" s="24"/>
      <c r="B817" s="24"/>
      <c r="C817" s="15"/>
      <c r="D817" s="24"/>
      <c r="E817" s="24"/>
      <c r="F817" s="24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7"/>
      <c r="X817" s="17"/>
      <c r="Y817" s="17"/>
      <c r="Z817" s="17"/>
    </row>
    <row r="818" ht="15.75" customHeight="1">
      <c r="A818" s="24"/>
      <c r="B818" s="24"/>
      <c r="C818" s="15"/>
      <c r="D818" s="24"/>
      <c r="E818" s="24"/>
      <c r="F818" s="24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7"/>
      <c r="X818" s="17"/>
      <c r="Y818" s="17"/>
      <c r="Z818" s="17"/>
    </row>
    <row r="819" ht="15.75" customHeight="1">
      <c r="A819" s="24"/>
      <c r="B819" s="24"/>
      <c r="C819" s="15"/>
      <c r="D819" s="24"/>
      <c r="E819" s="24"/>
      <c r="F819" s="24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7"/>
      <c r="X819" s="17"/>
      <c r="Y819" s="17"/>
      <c r="Z819" s="17"/>
    </row>
    <row r="820" ht="15.75" customHeight="1">
      <c r="A820" s="24"/>
      <c r="B820" s="24"/>
      <c r="C820" s="15"/>
      <c r="D820" s="24"/>
      <c r="E820" s="24"/>
      <c r="F820" s="24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7"/>
      <c r="X820" s="17"/>
      <c r="Y820" s="17"/>
      <c r="Z820" s="17"/>
    </row>
    <row r="821" ht="15.75" customHeight="1">
      <c r="A821" s="24"/>
      <c r="B821" s="24"/>
      <c r="C821" s="15"/>
      <c r="D821" s="24"/>
      <c r="E821" s="24"/>
      <c r="F821" s="24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7"/>
      <c r="X821" s="17"/>
      <c r="Y821" s="17"/>
      <c r="Z821" s="17"/>
    </row>
    <row r="822" ht="15.75" customHeight="1">
      <c r="A822" s="24"/>
      <c r="B822" s="24"/>
      <c r="C822" s="15"/>
      <c r="D822" s="24"/>
      <c r="E822" s="24"/>
      <c r="F822" s="24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7"/>
      <c r="X822" s="17"/>
      <c r="Y822" s="17"/>
      <c r="Z822" s="17"/>
    </row>
    <row r="823" ht="15.75" customHeight="1">
      <c r="A823" s="24"/>
      <c r="B823" s="24"/>
      <c r="C823" s="15"/>
      <c r="D823" s="24"/>
      <c r="E823" s="24"/>
      <c r="F823" s="24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7"/>
      <c r="X823" s="17"/>
      <c r="Y823" s="17"/>
      <c r="Z823" s="17"/>
    </row>
    <row r="824" ht="15.75" customHeight="1">
      <c r="A824" s="24"/>
      <c r="B824" s="24"/>
      <c r="C824" s="15"/>
      <c r="D824" s="24"/>
      <c r="E824" s="24"/>
      <c r="F824" s="24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7"/>
      <c r="X824" s="17"/>
      <c r="Y824" s="17"/>
      <c r="Z824" s="17"/>
    </row>
    <row r="825" ht="15.75" customHeight="1">
      <c r="A825" s="24"/>
      <c r="B825" s="24"/>
      <c r="C825" s="15"/>
      <c r="D825" s="24"/>
      <c r="E825" s="24"/>
      <c r="F825" s="24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7"/>
      <c r="X825" s="17"/>
      <c r="Y825" s="17"/>
      <c r="Z825" s="17"/>
    </row>
    <row r="826" ht="15.75" customHeight="1">
      <c r="A826" s="24"/>
      <c r="B826" s="24"/>
      <c r="C826" s="15"/>
      <c r="D826" s="24"/>
      <c r="E826" s="24"/>
      <c r="F826" s="24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7"/>
      <c r="X826" s="17"/>
      <c r="Y826" s="17"/>
      <c r="Z826" s="17"/>
    </row>
    <row r="827" ht="15.75" customHeight="1">
      <c r="A827" s="24"/>
      <c r="B827" s="24"/>
      <c r="C827" s="15"/>
      <c r="D827" s="24"/>
      <c r="E827" s="24"/>
      <c r="F827" s="24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7"/>
      <c r="X827" s="17"/>
      <c r="Y827" s="17"/>
      <c r="Z827" s="17"/>
    </row>
    <row r="828" ht="15.75" customHeight="1">
      <c r="A828" s="24"/>
      <c r="B828" s="24"/>
      <c r="C828" s="15"/>
      <c r="D828" s="24"/>
      <c r="E828" s="24"/>
      <c r="F828" s="24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7"/>
      <c r="X828" s="17"/>
      <c r="Y828" s="17"/>
      <c r="Z828" s="17"/>
    </row>
    <row r="829" ht="15.75" customHeight="1">
      <c r="A829" s="24"/>
      <c r="B829" s="24"/>
      <c r="C829" s="15"/>
      <c r="D829" s="24"/>
      <c r="E829" s="24"/>
      <c r="F829" s="24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7"/>
      <c r="X829" s="17"/>
      <c r="Y829" s="17"/>
      <c r="Z829" s="17"/>
    </row>
    <row r="830" ht="15.75" customHeight="1">
      <c r="A830" s="24"/>
      <c r="B830" s="24"/>
      <c r="C830" s="15"/>
      <c r="D830" s="24"/>
      <c r="E830" s="24"/>
      <c r="F830" s="24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7"/>
      <c r="X830" s="17"/>
      <c r="Y830" s="17"/>
      <c r="Z830" s="17"/>
    </row>
    <row r="831" ht="15.75" customHeight="1">
      <c r="A831" s="24"/>
      <c r="B831" s="24"/>
      <c r="C831" s="15"/>
      <c r="D831" s="24"/>
      <c r="E831" s="24"/>
      <c r="F831" s="24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7"/>
      <c r="X831" s="17"/>
      <c r="Y831" s="17"/>
      <c r="Z831" s="17"/>
    </row>
    <row r="832" ht="15.75" customHeight="1">
      <c r="A832" s="24"/>
      <c r="B832" s="24"/>
      <c r="C832" s="15"/>
      <c r="D832" s="24"/>
      <c r="E832" s="24"/>
      <c r="F832" s="24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7"/>
      <c r="X832" s="17"/>
      <c r="Y832" s="17"/>
      <c r="Z832" s="17"/>
    </row>
    <row r="833" ht="15.75" customHeight="1">
      <c r="A833" s="24"/>
      <c r="B833" s="24"/>
      <c r="C833" s="15"/>
      <c r="D833" s="24"/>
      <c r="E833" s="24"/>
      <c r="F833" s="24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7"/>
      <c r="X833" s="17"/>
      <c r="Y833" s="17"/>
      <c r="Z833" s="17"/>
    </row>
    <row r="834" ht="15.75" customHeight="1">
      <c r="A834" s="24"/>
      <c r="B834" s="24"/>
      <c r="C834" s="15"/>
      <c r="D834" s="24"/>
      <c r="E834" s="24"/>
      <c r="F834" s="24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7"/>
      <c r="X834" s="17"/>
      <c r="Y834" s="17"/>
      <c r="Z834" s="17"/>
    </row>
    <row r="835" ht="15.75" customHeight="1">
      <c r="A835" s="24"/>
      <c r="B835" s="24"/>
      <c r="C835" s="15"/>
      <c r="D835" s="24"/>
      <c r="E835" s="24"/>
      <c r="F835" s="24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7"/>
      <c r="X835" s="17"/>
      <c r="Y835" s="17"/>
      <c r="Z835" s="17"/>
    </row>
    <row r="836" ht="15.75" customHeight="1">
      <c r="A836" s="24"/>
      <c r="B836" s="24"/>
      <c r="C836" s="15"/>
      <c r="D836" s="24"/>
      <c r="E836" s="24"/>
      <c r="F836" s="24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7"/>
      <c r="X836" s="17"/>
      <c r="Y836" s="17"/>
      <c r="Z836" s="17"/>
    </row>
    <row r="837" ht="15.75" customHeight="1">
      <c r="A837" s="24"/>
      <c r="B837" s="24"/>
      <c r="C837" s="15"/>
      <c r="D837" s="24"/>
      <c r="E837" s="24"/>
      <c r="F837" s="24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7"/>
      <c r="X837" s="17"/>
      <c r="Y837" s="17"/>
      <c r="Z837" s="17"/>
    </row>
    <row r="838" ht="15.75" customHeight="1">
      <c r="A838" s="24"/>
      <c r="B838" s="24"/>
      <c r="C838" s="15"/>
      <c r="D838" s="24"/>
      <c r="E838" s="24"/>
      <c r="F838" s="24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7"/>
      <c r="X838" s="17"/>
      <c r="Y838" s="17"/>
      <c r="Z838" s="17"/>
    </row>
    <row r="839" ht="15.75" customHeight="1">
      <c r="A839" s="24"/>
      <c r="B839" s="24"/>
      <c r="C839" s="15"/>
      <c r="D839" s="24"/>
      <c r="E839" s="24"/>
      <c r="F839" s="24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7"/>
      <c r="X839" s="17"/>
      <c r="Y839" s="17"/>
      <c r="Z839" s="17"/>
    </row>
    <row r="840" ht="15.75" customHeight="1">
      <c r="A840" s="24"/>
      <c r="B840" s="24"/>
      <c r="C840" s="15"/>
      <c r="D840" s="24"/>
      <c r="E840" s="24"/>
      <c r="F840" s="24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7"/>
      <c r="X840" s="17"/>
      <c r="Y840" s="17"/>
      <c r="Z840" s="17"/>
    </row>
    <row r="841" ht="15.75" customHeight="1">
      <c r="A841" s="24"/>
      <c r="B841" s="24"/>
      <c r="C841" s="15"/>
      <c r="D841" s="24"/>
      <c r="E841" s="24"/>
      <c r="F841" s="24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7"/>
      <c r="X841" s="17"/>
      <c r="Y841" s="17"/>
      <c r="Z841" s="17"/>
    </row>
    <row r="842" ht="15.75" customHeight="1">
      <c r="A842" s="24"/>
      <c r="B842" s="24"/>
      <c r="C842" s="15"/>
      <c r="D842" s="24"/>
      <c r="E842" s="24"/>
      <c r="F842" s="24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7"/>
      <c r="X842" s="17"/>
      <c r="Y842" s="17"/>
      <c r="Z842" s="17"/>
    </row>
    <row r="843" ht="15.75" customHeight="1">
      <c r="A843" s="24"/>
      <c r="B843" s="24"/>
      <c r="C843" s="15"/>
      <c r="D843" s="24"/>
      <c r="E843" s="24"/>
      <c r="F843" s="24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7"/>
      <c r="X843" s="17"/>
      <c r="Y843" s="17"/>
      <c r="Z843" s="17"/>
    </row>
    <row r="844" ht="15.75" customHeight="1">
      <c r="A844" s="24"/>
      <c r="B844" s="24"/>
      <c r="C844" s="15"/>
      <c r="D844" s="24"/>
      <c r="E844" s="24"/>
      <c r="F844" s="24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7"/>
      <c r="X844" s="17"/>
      <c r="Y844" s="17"/>
      <c r="Z844" s="17"/>
    </row>
    <row r="845" ht="15.75" customHeight="1">
      <c r="A845" s="24"/>
      <c r="B845" s="24"/>
      <c r="C845" s="15"/>
      <c r="D845" s="24"/>
      <c r="E845" s="24"/>
      <c r="F845" s="24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7"/>
      <c r="X845" s="17"/>
      <c r="Y845" s="17"/>
      <c r="Z845" s="17"/>
    </row>
    <row r="846" ht="15.75" customHeight="1">
      <c r="A846" s="24"/>
      <c r="B846" s="24"/>
      <c r="C846" s="15"/>
      <c r="D846" s="24"/>
      <c r="E846" s="24"/>
      <c r="F846" s="24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7"/>
      <c r="X846" s="17"/>
      <c r="Y846" s="17"/>
      <c r="Z846" s="17"/>
    </row>
    <row r="847" ht="15.75" customHeight="1">
      <c r="A847" s="24"/>
      <c r="B847" s="24"/>
      <c r="C847" s="15"/>
      <c r="D847" s="24"/>
      <c r="E847" s="24"/>
      <c r="F847" s="24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7"/>
      <c r="X847" s="17"/>
      <c r="Y847" s="17"/>
      <c r="Z847" s="17"/>
    </row>
    <row r="848" ht="15.75" customHeight="1">
      <c r="A848" s="24"/>
      <c r="B848" s="24"/>
      <c r="C848" s="15"/>
      <c r="D848" s="24"/>
      <c r="E848" s="24"/>
      <c r="F848" s="24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7"/>
      <c r="X848" s="17"/>
      <c r="Y848" s="17"/>
      <c r="Z848" s="17"/>
    </row>
    <row r="849" ht="15.75" customHeight="1">
      <c r="A849" s="24"/>
      <c r="B849" s="24"/>
      <c r="C849" s="15"/>
      <c r="D849" s="24"/>
      <c r="E849" s="24"/>
      <c r="F849" s="24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7"/>
      <c r="X849" s="17"/>
      <c r="Y849" s="17"/>
      <c r="Z849" s="17"/>
    </row>
    <row r="850" ht="15.75" customHeight="1">
      <c r="A850" s="24"/>
      <c r="B850" s="24"/>
      <c r="C850" s="15"/>
      <c r="D850" s="24"/>
      <c r="E850" s="24"/>
      <c r="F850" s="24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7"/>
      <c r="X850" s="17"/>
      <c r="Y850" s="17"/>
      <c r="Z850" s="17"/>
    </row>
    <row r="851" ht="15.75" customHeight="1">
      <c r="A851" s="24"/>
      <c r="B851" s="24"/>
      <c r="C851" s="15"/>
      <c r="D851" s="24"/>
      <c r="E851" s="24"/>
      <c r="F851" s="24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7"/>
      <c r="X851" s="17"/>
      <c r="Y851" s="17"/>
      <c r="Z851" s="17"/>
    </row>
    <row r="852" ht="15.75" customHeight="1">
      <c r="A852" s="24"/>
      <c r="B852" s="24"/>
      <c r="C852" s="15"/>
      <c r="D852" s="24"/>
      <c r="E852" s="24"/>
      <c r="F852" s="24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7"/>
      <c r="X852" s="17"/>
      <c r="Y852" s="17"/>
      <c r="Z852" s="17"/>
    </row>
    <row r="853" ht="15.75" customHeight="1">
      <c r="A853" s="24"/>
      <c r="B853" s="24"/>
      <c r="C853" s="15"/>
      <c r="D853" s="24"/>
      <c r="E853" s="24"/>
      <c r="F853" s="24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7"/>
      <c r="X853" s="17"/>
      <c r="Y853" s="17"/>
      <c r="Z853" s="17"/>
    </row>
    <row r="854" ht="15.75" customHeight="1">
      <c r="A854" s="24"/>
      <c r="B854" s="24"/>
      <c r="C854" s="15"/>
      <c r="D854" s="24"/>
      <c r="E854" s="24"/>
      <c r="F854" s="24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7"/>
      <c r="X854" s="17"/>
      <c r="Y854" s="17"/>
      <c r="Z854" s="17"/>
    </row>
    <row r="855" ht="15.75" customHeight="1">
      <c r="A855" s="24"/>
      <c r="B855" s="24"/>
      <c r="C855" s="15"/>
      <c r="D855" s="24"/>
      <c r="E855" s="24"/>
      <c r="F855" s="24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7"/>
      <c r="X855" s="17"/>
      <c r="Y855" s="17"/>
      <c r="Z855" s="17"/>
    </row>
    <row r="856" ht="15.75" customHeight="1">
      <c r="A856" s="24"/>
      <c r="B856" s="24"/>
      <c r="C856" s="15"/>
      <c r="D856" s="24"/>
      <c r="E856" s="24"/>
      <c r="F856" s="24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7"/>
      <c r="X856" s="17"/>
      <c r="Y856" s="17"/>
      <c r="Z856" s="17"/>
    </row>
    <row r="857" ht="15.75" customHeight="1">
      <c r="A857" s="24"/>
      <c r="B857" s="24"/>
      <c r="C857" s="15"/>
      <c r="D857" s="24"/>
      <c r="E857" s="24"/>
      <c r="F857" s="24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7"/>
      <c r="X857" s="17"/>
      <c r="Y857" s="17"/>
      <c r="Z857" s="17"/>
    </row>
    <row r="858" ht="15.75" customHeight="1">
      <c r="A858" s="24"/>
      <c r="B858" s="24"/>
      <c r="C858" s="15"/>
      <c r="D858" s="24"/>
      <c r="E858" s="24"/>
      <c r="F858" s="24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7"/>
      <c r="X858" s="17"/>
      <c r="Y858" s="17"/>
      <c r="Z858" s="17"/>
    </row>
    <row r="859" ht="15.75" customHeight="1">
      <c r="A859" s="24"/>
      <c r="B859" s="24"/>
      <c r="C859" s="15"/>
      <c r="D859" s="24"/>
      <c r="E859" s="24"/>
      <c r="F859" s="24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7"/>
      <c r="X859" s="17"/>
      <c r="Y859" s="17"/>
      <c r="Z859" s="17"/>
    </row>
    <row r="860" ht="15.75" customHeight="1">
      <c r="A860" s="24"/>
      <c r="B860" s="24"/>
      <c r="C860" s="15"/>
      <c r="D860" s="24"/>
      <c r="E860" s="24"/>
      <c r="F860" s="24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7"/>
      <c r="X860" s="17"/>
      <c r="Y860" s="17"/>
      <c r="Z860" s="17"/>
    </row>
    <row r="861" ht="15.75" customHeight="1">
      <c r="A861" s="24"/>
      <c r="B861" s="24"/>
      <c r="C861" s="15"/>
      <c r="D861" s="24"/>
      <c r="E861" s="24"/>
      <c r="F861" s="24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7"/>
      <c r="X861" s="17"/>
      <c r="Y861" s="17"/>
      <c r="Z861" s="17"/>
    </row>
    <row r="862" ht="15.75" customHeight="1">
      <c r="A862" s="24"/>
      <c r="B862" s="24"/>
      <c r="C862" s="15"/>
      <c r="D862" s="24"/>
      <c r="E862" s="24"/>
      <c r="F862" s="24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7"/>
      <c r="X862" s="17"/>
      <c r="Y862" s="17"/>
      <c r="Z862" s="17"/>
    </row>
    <row r="863" ht="15.75" customHeight="1">
      <c r="A863" s="24"/>
      <c r="B863" s="24"/>
      <c r="C863" s="15"/>
      <c r="D863" s="24"/>
      <c r="E863" s="24"/>
      <c r="F863" s="24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7"/>
      <c r="X863" s="17"/>
      <c r="Y863" s="17"/>
      <c r="Z863" s="17"/>
    </row>
    <row r="864" ht="15.75" customHeight="1">
      <c r="A864" s="24"/>
      <c r="B864" s="24"/>
      <c r="C864" s="15"/>
      <c r="D864" s="24"/>
      <c r="E864" s="24"/>
      <c r="F864" s="24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7"/>
      <c r="X864" s="17"/>
      <c r="Y864" s="17"/>
      <c r="Z864" s="17"/>
    </row>
    <row r="865" ht="15.75" customHeight="1">
      <c r="A865" s="24"/>
      <c r="B865" s="24"/>
      <c r="C865" s="15"/>
      <c r="D865" s="24"/>
      <c r="E865" s="24"/>
      <c r="F865" s="24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7"/>
      <c r="X865" s="17"/>
      <c r="Y865" s="17"/>
      <c r="Z865" s="17"/>
    </row>
    <row r="866" ht="15.75" customHeight="1">
      <c r="A866" s="24"/>
      <c r="B866" s="24"/>
      <c r="C866" s="15"/>
      <c r="D866" s="24"/>
      <c r="E866" s="24"/>
      <c r="F866" s="24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7"/>
      <c r="X866" s="17"/>
      <c r="Y866" s="17"/>
      <c r="Z866" s="17"/>
    </row>
    <row r="867" ht="15.75" customHeight="1">
      <c r="A867" s="24"/>
      <c r="B867" s="24"/>
      <c r="C867" s="15"/>
      <c r="D867" s="24"/>
      <c r="E867" s="24"/>
      <c r="F867" s="24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7"/>
      <c r="X867" s="17"/>
      <c r="Y867" s="17"/>
      <c r="Z867" s="17"/>
    </row>
    <row r="868" ht="15.75" customHeight="1">
      <c r="A868" s="24"/>
      <c r="B868" s="24"/>
      <c r="C868" s="15"/>
      <c r="D868" s="24"/>
      <c r="E868" s="24"/>
      <c r="F868" s="24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7"/>
      <c r="X868" s="17"/>
      <c r="Y868" s="17"/>
      <c r="Z868" s="17"/>
    </row>
    <row r="869" ht="15.75" customHeight="1">
      <c r="A869" s="24"/>
      <c r="B869" s="24"/>
      <c r="C869" s="15"/>
      <c r="D869" s="24"/>
      <c r="E869" s="24"/>
      <c r="F869" s="24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7"/>
      <c r="X869" s="17"/>
      <c r="Y869" s="17"/>
      <c r="Z869" s="17"/>
    </row>
    <row r="870" ht="15.75" customHeight="1">
      <c r="A870" s="24"/>
      <c r="B870" s="24"/>
      <c r="C870" s="15"/>
      <c r="D870" s="24"/>
      <c r="E870" s="24"/>
      <c r="F870" s="24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7"/>
      <c r="X870" s="17"/>
      <c r="Y870" s="17"/>
      <c r="Z870" s="17"/>
    </row>
    <row r="871" ht="15.75" customHeight="1">
      <c r="A871" s="24"/>
      <c r="B871" s="24"/>
      <c r="C871" s="15"/>
      <c r="D871" s="24"/>
      <c r="E871" s="24"/>
      <c r="F871" s="24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7"/>
      <c r="X871" s="17"/>
      <c r="Y871" s="17"/>
      <c r="Z871" s="17"/>
    </row>
    <row r="872" ht="15.75" customHeight="1">
      <c r="A872" s="24"/>
      <c r="B872" s="24"/>
      <c r="C872" s="15"/>
      <c r="D872" s="24"/>
      <c r="E872" s="24"/>
      <c r="F872" s="24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7"/>
      <c r="X872" s="17"/>
      <c r="Y872" s="17"/>
      <c r="Z872" s="17"/>
    </row>
    <row r="873" ht="15.75" customHeight="1">
      <c r="A873" s="24"/>
      <c r="B873" s="24"/>
      <c r="C873" s="15"/>
      <c r="D873" s="24"/>
      <c r="E873" s="24"/>
      <c r="F873" s="24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7"/>
      <c r="X873" s="17"/>
      <c r="Y873" s="17"/>
      <c r="Z873" s="17"/>
    </row>
    <row r="874" ht="15.75" customHeight="1">
      <c r="A874" s="24"/>
      <c r="B874" s="24"/>
      <c r="C874" s="15"/>
      <c r="D874" s="24"/>
      <c r="E874" s="24"/>
      <c r="F874" s="24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7"/>
      <c r="X874" s="17"/>
      <c r="Y874" s="17"/>
      <c r="Z874" s="17"/>
    </row>
    <row r="875" ht="15.75" customHeight="1">
      <c r="A875" s="24"/>
      <c r="B875" s="24"/>
      <c r="C875" s="15"/>
      <c r="D875" s="24"/>
      <c r="E875" s="24"/>
      <c r="F875" s="24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7"/>
      <c r="X875" s="17"/>
      <c r="Y875" s="17"/>
      <c r="Z875" s="17"/>
    </row>
    <row r="876" ht="15.75" customHeight="1">
      <c r="A876" s="24"/>
      <c r="B876" s="24"/>
      <c r="C876" s="15"/>
      <c r="D876" s="24"/>
      <c r="E876" s="24"/>
      <c r="F876" s="24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7"/>
      <c r="X876" s="17"/>
      <c r="Y876" s="17"/>
      <c r="Z876" s="17"/>
    </row>
    <row r="877" ht="15.75" customHeight="1">
      <c r="A877" s="24"/>
      <c r="B877" s="24"/>
      <c r="C877" s="15"/>
      <c r="D877" s="24"/>
      <c r="E877" s="24"/>
      <c r="F877" s="24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7"/>
      <c r="X877" s="17"/>
      <c r="Y877" s="17"/>
      <c r="Z877" s="17"/>
    </row>
    <row r="878" ht="15.75" customHeight="1">
      <c r="A878" s="24"/>
      <c r="B878" s="24"/>
      <c r="C878" s="15"/>
      <c r="D878" s="24"/>
      <c r="E878" s="24"/>
      <c r="F878" s="24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7"/>
      <c r="X878" s="17"/>
      <c r="Y878" s="17"/>
      <c r="Z878" s="17"/>
    </row>
    <row r="879" ht="15.75" customHeight="1">
      <c r="A879" s="24"/>
      <c r="B879" s="24"/>
      <c r="C879" s="15"/>
      <c r="D879" s="24"/>
      <c r="E879" s="24"/>
      <c r="F879" s="24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7"/>
      <c r="X879" s="17"/>
      <c r="Y879" s="17"/>
      <c r="Z879" s="17"/>
    </row>
    <row r="880" ht="15.75" customHeight="1">
      <c r="A880" s="24"/>
      <c r="B880" s="24"/>
      <c r="C880" s="15"/>
      <c r="D880" s="24"/>
      <c r="E880" s="24"/>
      <c r="F880" s="24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7"/>
      <c r="X880" s="17"/>
      <c r="Y880" s="17"/>
      <c r="Z880" s="17"/>
    </row>
    <row r="881" ht="15.75" customHeight="1">
      <c r="A881" s="24"/>
      <c r="B881" s="24"/>
      <c r="C881" s="15"/>
      <c r="D881" s="24"/>
      <c r="E881" s="24"/>
      <c r="F881" s="24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7"/>
      <c r="X881" s="17"/>
      <c r="Y881" s="17"/>
      <c r="Z881" s="17"/>
    </row>
    <row r="882" ht="15.75" customHeight="1">
      <c r="A882" s="24"/>
      <c r="B882" s="24"/>
      <c r="C882" s="15"/>
      <c r="D882" s="24"/>
      <c r="E882" s="24"/>
      <c r="F882" s="24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7"/>
      <c r="X882" s="17"/>
      <c r="Y882" s="17"/>
      <c r="Z882" s="17"/>
    </row>
    <row r="883" ht="15.75" customHeight="1">
      <c r="A883" s="24"/>
      <c r="B883" s="24"/>
      <c r="C883" s="15"/>
      <c r="D883" s="24"/>
      <c r="E883" s="24"/>
      <c r="F883" s="24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7"/>
      <c r="X883" s="17"/>
      <c r="Y883" s="17"/>
      <c r="Z883" s="17"/>
    </row>
    <row r="884" ht="15.75" customHeight="1">
      <c r="A884" s="24"/>
      <c r="B884" s="24"/>
      <c r="C884" s="15"/>
      <c r="D884" s="24"/>
      <c r="E884" s="24"/>
      <c r="F884" s="24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7"/>
      <c r="X884" s="17"/>
      <c r="Y884" s="17"/>
      <c r="Z884" s="17"/>
    </row>
    <row r="885" ht="15.75" customHeight="1">
      <c r="A885" s="24"/>
      <c r="B885" s="24"/>
      <c r="C885" s="15"/>
      <c r="D885" s="24"/>
      <c r="E885" s="24"/>
      <c r="F885" s="24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7"/>
      <c r="X885" s="17"/>
      <c r="Y885" s="17"/>
      <c r="Z885" s="17"/>
    </row>
    <row r="886" ht="15.75" customHeight="1">
      <c r="A886" s="24"/>
      <c r="B886" s="24"/>
      <c r="C886" s="15"/>
      <c r="D886" s="24"/>
      <c r="E886" s="24"/>
      <c r="F886" s="24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7"/>
      <c r="X886" s="17"/>
      <c r="Y886" s="17"/>
      <c r="Z886" s="17"/>
    </row>
    <row r="887" ht="15.75" customHeight="1">
      <c r="A887" s="24"/>
      <c r="B887" s="24"/>
      <c r="C887" s="15"/>
      <c r="D887" s="24"/>
      <c r="E887" s="24"/>
      <c r="F887" s="24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7"/>
      <c r="X887" s="17"/>
      <c r="Y887" s="17"/>
      <c r="Z887" s="17"/>
    </row>
    <row r="888" ht="15.75" customHeight="1">
      <c r="A888" s="24"/>
      <c r="B888" s="24"/>
      <c r="C888" s="15"/>
      <c r="D888" s="24"/>
      <c r="E888" s="24"/>
      <c r="F888" s="24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7"/>
      <c r="X888" s="17"/>
      <c r="Y888" s="17"/>
      <c r="Z888" s="17"/>
    </row>
    <row r="889" ht="15.75" customHeight="1">
      <c r="A889" s="24"/>
      <c r="B889" s="24"/>
      <c r="C889" s="15"/>
      <c r="D889" s="24"/>
      <c r="E889" s="24"/>
      <c r="F889" s="24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7"/>
      <c r="X889" s="17"/>
      <c r="Y889" s="17"/>
      <c r="Z889" s="17"/>
    </row>
    <row r="890" ht="15.75" customHeight="1">
      <c r="A890" s="24"/>
      <c r="B890" s="24"/>
      <c r="C890" s="15"/>
      <c r="D890" s="24"/>
      <c r="E890" s="24"/>
      <c r="F890" s="24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7"/>
      <c r="X890" s="17"/>
      <c r="Y890" s="17"/>
      <c r="Z890" s="17"/>
    </row>
    <row r="891" ht="15.75" customHeight="1">
      <c r="A891" s="24"/>
      <c r="B891" s="24"/>
      <c r="C891" s="15"/>
      <c r="D891" s="24"/>
      <c r="E891" s="24"/>
      <c r="F891" s="24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7"/>
      <c r="X891" s="17"/>
      <c r="Y891" s="17"/>
      <c r="Z891" s="17"/>
    </row>
    <row r="892" ht="15.75" customHeight="1">
      <c r="A892" s="24"/>
      <c r="B892" s="24"/>
      <c r="C892" s="15"/>
      <c r="D892" s="24"/>
      <c r="E892" s="24"/>
      <c r="F892" s="24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7"/>
      <c r="X892" s="17"/>
      <c r="Y892" s="17"/>
      <c r="Z892" s="17"/>
    </row>
    <row r="893" ht="15.75" customHeight="1">
      <c r="A893" s="24"/>
      <c r="B893" s="24"/>
      <c r="C893" s="15"/>
      <c r="D893" s="24"/>
      <c r="E893" s="24"/>
      <c r="F893" s="24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7"/>
      <c r="X893" s="17"/>
      <c r="Y893" s="17"/>
      <c r="Z893" s="17"/>
    </row>
    <row r="894" ht="15.75" customHeight="1">
      <c r="A894" s="24"/>
      <c r="B894" s="24"/>
      <c r="C894" s="15"/>
      <c r="D894" s="24"/>
      <c r="E894" s="24"/>
      <c r="F894" s="24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7"/>
      <c r="X894" s="17"/>
      <c r="Y894" s="17"/>
      <c r="Z894" s="17"/>
    </row>
    <row r="895" ht="15.75" customHeight="1">
      <c r="A895" s="24"/>
      <c r="B895" s="24"/>
      <c r="C895" s="15"/>
      <c r="D895" s="24"/>
      <c r="E895" s="24"/>
      <c r="F895" s="24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7"/>
      <c r="X895" s="17"/>
      <c r="Y895" s="17"/>
      <c r="Z895" s="17"/>
    </row>
    <row r="896" ht="15.75" customHeight="1">
      <c r="A896" s="24"/>
      <c r="B896" s="24"/>
      <c r="C896" s="15"/>
      <c r="D896" s="24"/>
      <c r="E896" s="24"/>
      <c r="F896" s="24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7"/>
      <c r="X896" s="17"/>
      <c r="Y896" s="17"/>
      <c r="Z896" s="17"/>
    </row>
    <row r="897" ht="15.75" customHeight="1">
      <c r="A897" s="24"/>
      <c r="B897" s="24"/>
      <c r="C897" s="15"/>
      <c r="D897" s="24"/>
      <c r="E897" s="24"/>
      <c r="F897" s="24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7"/>
      <c r="X897" s="17"/>
      <c r="Y897" s="17"/>
      <c r="Z897" s="17"/>
    </row>
    <row r="898" ht="15.75" customHeight="1">
      <c r="A898" s="24"/>
      <c r="B898" s="24"/>
      <c r="C898" s="15"/>
      <c r="D898" s="24"/>
      <c r="E898" s="24"/>
      <c r="F898" s="24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7"/>
      <c r="X898" s="17"/>
      <c r="Y898" s="17"/>
      <c r="Z898" s="17"/>
    </row>
    <row r="899" ht="15.75" customHeight="1">
      <c r="A899" s="24"/>
      <c r="B899" s="24"/>
      <c r="C899" s="15"/>
      <c r="D899" s="24"/>
      <c r="E899" s="24"/>
      <c r="F899" s="24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7"/>
      <c r="X899" s="17"/>
      <c r="Y899" s="17"/>
      <c r="Z899" s="17"/>
    </row>
    <row r="900" ht="15.75" customHeight="1">
      <c r="A900" s="24"/>
      <c r="B900" s="24"/>
      <c r="C900" s="15"/>
      <c r="D900" s="24"/>
      <c r="E900" s="24"/>
      <c r="F900" s="24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7"/>
      <c r="X900" s="17"/>
      <c r="Y900" s="17"/>
      <c r="Z900" s="17"/>
    </row>
    <row r="901" ht="15.75" customHeight="1">
      <c r="A901" s="24"/>
      <c r="B901" s="24"/>
      <c r="C901" s="15"/>
      <c r="D901" s="24"/>
      <c r="E901" s="24"/>
      <c r="F901" s="24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7"/>
      <c r="X901" s="17"/>
      <c r="Y901" s="17"/>
      <c r="Z901" s="17"/>
    </row>
    <row r="902" ht="15.75" customHeight="1">
      <c r="A902" s="24"/>
      <c r="B902" s="24"/>
      <c r="C902" s="15"/>
      <c r="D902" s="24"/>
      <c r="E902" s="24"/>
      <c r="F902" s="24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7"/>
      <c r="X902" s="17"/>
      <c r="Y902" s="17"/>
      <c r="Z902" s="17"/>
    </row>
    <row r="903" ht="15.75" customHeight="1">
      <c r="A903" s="24"/>
      <c r="B903" s="24"/>
      <c r="C903" s="15"/>
      <c r="D903" s="24"/>
      <c r="E903" s="24"/>
      <c r="F903" s="24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7"/>
      <c r="X903" s="17"/>
      <c r="Y903" s="17"/>
      <c r="Z903" s="17"/>
    </row>
    <row r="904" ht="15.75" customHeight="1">
      <c r="A904" s="24"/>
      <c r="B904" s="24"/>
      <c r="C904" s="15"/>
      <c r="D904" s="24"/>
      <c r="E904" s="24"/>
      <c r="F904" s="24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7"/>
      <c r="X904" s="17"/>
      <c r="Y904" s="17"/>
      <c r="Z904" s="17"/>
    </row>
    <row r="905" ht="15.75" customHeight="1">
      <c r="A905" s="24"/>
      <c r="B905" s="24"/>
      <c r="C905" s="15"/>
      <c r="D905" s="24"/>
      <c r="E905" s="24"/>
      <c r="F905" s="24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7"/>
      <c r="X905" s="17"/>
      <c r="Y905" s="17"/>
      <c r="Z905" s="17"/>
    </row>
    <row r="906" ht="15.75" customHeight="1">
      <c r="A906" s="24"/>
      <c r="B906" s="24"/>
      <c r="C906" s="15"/>
      <c r="D906" s="24"/>
      <c r="E906" s="24"/>
      <c r="F906" s="24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7"/>
      <c r="X906" s="17"/>
      <c r="Y906" s="17"/>
      <c r="Z906" s="17"/>
    </row>
    <row r="907" ht="15.75" customHeight="1">
      <c r="A907" s="24"/>
      <c r="B907" s="24"/>
      <c r="C907" s="15"/>
      <c r="D907" s="24"/>
      <c r="E907" s="24"/>
      <c r="F907" s="24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7"/>
      <c r="X907" s="17"/>
      <c r="Y907" s="17"/>
      <c r="Z907" s="17"/>
    </row>
    <row r="908" ht="15.75" customHeight="1">
      <c r="A908" s="24"/>
      <c r="B908" s="24"/>
      <c r="C908" s="15"/>
      <c r="D908" s="24"/>
      <c r="E908" s="24"/>
      <c r="F908" s="24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7"/>
      <c r="X908" s="17"/>
      <c r="Y908" s="17"/>
      <c r="Z908" s="17"/>
    </row>
    <row r="909" ht="15.75" customHeight="1">
      <c r="A909" s="24"/>
      <c r="B909" s="24"/>
      <c r="C909" s="15"/>
      <c r="D909" s="24"/>
      <c r="E909" s="24"/>
      <c r="F909" s="24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7"/>
      <c r="X909" s="17"/>
      <c r="Y909" s="17"/>
      <c r="Z909" s="17"/>
    </row>
    <row r="910" ht="15.75" customHeight="1">
      <c r="A910" s="24"/>
      <c r="B910" s="24"/>
      <c r="C910" s="15"/>
      <c r="D910" s="24"/>
      <c r="E910" s="24"/>
      <c r="F910" s="24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7"/>
      <c r="X910" s="17"/>
      <c r="Y910" s="17"/>
      <c r="Z910" s="17"/>
    </row>
    <row r="911" ht="15.75" customHeight="1">
      <c r="A911" s="24"/>
      <c r="B911" s="24"/>
      <c r="C911" s="15"/>
      <c r="D911" s="24"/>
      <c r="E911" s="24"/>
      <c r="F911" s="24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7"/>
      <c r="X911" s="17"/>
      <c r="Y911" s="17"/>
      <c r="Z911" s="17"/>
    </row>
    <row r="912" ht="15.75" customHeight="1">
      <c r="A912" s="24"/>
      <c r="B912" s="24"/>
      <c r="C912" s="15"/>
      <c r="D912" s="24"/>
      <c r="E912" s="24"/>
      <c r="F912" s="24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7"/>
      <c r="X912" s="17"/>
      <c r="Y912" s="17"/>
      <c r="Z912" s="17"/>
    </row>
    <row r="913" ht="15.75" customHeight="1">
      <c r="A913" s="24"/>
      <c r="B913" s="24"/>
      <c r="C913" s="15"/>
      <c r="D913" s="24"/>
      <c r="E913" s="24"/>
      <c r="F913" s="24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7"/>
      <c r="X913" s="17"/>
      <c r="Y913" s="17"/>
      <c r="Z913" s="17"/>
    </row>
    <row r="914" ht="15.75" customHeight="1">
      <c r="A914" s="24"/>
      <c r="B914" s="24"/>
      <c r="C914" s="15"/>
      <c r="D914" s="24"/>
      <c r="E914" s="24"/>
      <c r="F914" s="24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7"/>
      <c r="X914" s="17"/>
      <c r="Y914" s="17"/>
      <c r="Z914" s="17"/>
    </row>
    <row r="915" ht="15.75" customHeight="1">
      <c r="A915" s="24"/>
      <c r="B915" s="24"/>
      <c r="C915" s="15"/>
      <c r="D915" s="24"/>
      <c r="E915" s="24"/>
      <c r="F915" s="24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7"/>
      <c r="X915" s="17"/>
      <c r="Y915" s="17"/>
      <c r="Z915" s="17"/>
    </row>
    <row r="916" ht="15.75" customHeight="1">
      <c r="A916" s="24"/>
      <c r="B916" s="24"/>
      <c r="C916" s="15"/>
      <c r="D916" s="24"/>
      <c r="E916" s="24"/>
      <c r="F916" s="24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7"/>
      <c r="X916" s="17"/>
      <c r="Y916" s="17"/>
      <c r="Z916" s="17"/>
    </row>
    <row r="917" ht="15.75" customHeight="1">
      <c r="A917" s="24"/>
      <c r="B917" s="24"/>
      <c r="C917" s="15"/>
      <c r="D917" s="24"/>
      <c r="E917" s="24"/>
      <c r="F917" s="24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7"/>
      <c r="X917" s="17"/>
      <c r="Y917" s="17"/>
      <c r="Z917" s="17"/>
    </row>
    <row r="918" ht="15.75" customHeight="1">
      <c r="A918" s="24"/>
      <c r="B918" s="24"/>
      <c r="C918" s="15"/>
      <c r="D918" s="24"/>
      <c r="E918" s="24"/>
      <c r="F918" s="24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7"/>
      <c r="X918" s="17"/>
      <c r="Y918" s="17"/>
      <c r="Z918" s="17"/>
    </row>
    <row r="919" ht="15.75" customHeight="1">
      <c r="A919" s="24"/>
      <c r="B919" s="24"/>
      <c r="C919" s="15"/>
      <c r="D919" s="24"/>
      <c r="E919" s="24"/>
      <c r="F919" s="24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7"/>
      <c r="X919" s="17"/>
      <c r="Y919" s="17"/>
      <c r="Z919" s="17"/>
    </row>
    <row r="920" ht="15.75" customHeight="1">
      <c r="A920" s="24"/>
      <c r="B920" s="24"/>
      <c r="C920" s="15"/>
      <c r="D920" s="24"/>
      <c r="E920" s="24"/>
      <c r="F920" s="24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7"/>
      <c r="X920" s="17"/>
      <c r="Y920" s="17"/>
      <c r="Z920" s="17"/>
    </row>
    <row r="921" ht="15.75" customHeight="1">
      <c r="A921" s="24"/>
      <c r="B921" s="24"/>
      <c r="C921" s="15"/>
      <c r="D921" s="24"/>
      <c r="E921" s="24"/>
      <c r="F921" s="24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7"/>
      <c r="X921" s="17"/>
      <c r="Y921" s="17"/>
      <c r="Z921" s="17"/>
    </row>
    <row r="922" ht="15.75" customHeight="1">
      <c r="A922" s="24"/>
      <c r="B922" s="24"/>
      <c r="C922" s="15"/>
      <c r="D922" s="24"/>
      <c r="E922" s="24"/>
      <c r="F922" s="24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7"/>
      <c r="X922" s="17"/>
      <c r="Y922" s="17"/>
      <c r="Z922" s="17"/>
    </row>
    <row r="923" ht="15.75" customHeight="1">
      <c r="A923" s="24"/>
      <c r="B923" s="24"/>
      <c r="C923" s="15"/>
      <c r="D923" s="24"/>
      <c r="E923" s="24"/>
      <c r="F923" s="24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7"/>
      <c r="X923" s="17"/>
      <c r="Y923" s="17"/>
      <c r="Z923" s="17"/>
    </row>
    <row r="924" ht="15.75" customHeight="1">
      <c r="A924" s="24"/>
      <c r="B924" s="24"/>
      <c r="C924" s="15"/>
      <c r="D924" s="24"/>
      <c r="E924" s="24"/>
      <c r="F924" s="24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7"/>
      <c r="X924" s="17"/>
      <c r="Y924" s="17"/>
      <c r="Z924" s="17"/>
    </row>
    <row r="925" ht="15.75" customHeight="1">
      <c r="A925" s="24"/>
      <c r="B925" s="24"/>
      <c r="C925" s="15"/>
      <c r="D925" s="24"/>
      <c r="E925" s="24"/>
      <c r="F925" s="24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7"/>
      <c r="X925" s="17"/>
      <c r="Y925" s="17"/>
      <c r="Z925" s="17"/>
    </row>
    <row r="926" ht="15.75" customHeight="1">
      <c r="A926" s="24"/>
      <c r="B926" s="24"/>
      <c r="C926" s="15"/>
      <c r="D926" s="24"/>
      <c r="E926" s="24"/>
      <c r="F926" s="24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7"/>
      <c r="X926" s="17"/>
      <c r="Y926" s="17"/>
      <c r="Z926" s="17"/>
    </row>
    <row r="927" ht="15.75" customHeight="1">
      <c r="A927" s="24"/>
      <c r="B927" s="24"/>
      <c r="C927" s="15"/>
      <c r="D927" s="24"/>
      <c r="E927" s="24"/>
      <c r="F927" s="24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7"/>
      <c r="X927" s="17"/>
      <c r="Y927" s="17"/>
      <c r="Z927" s="17"/>
    </row>
    <row r="928" ht="15.75" customHeight="1">
      <c r="A928" s="24"/>
      <c r="B928" s="24"/>
      <c r="C928" s="15"/>
      <c r="D928" s="24"/>
      <c r="E928" s="24"/>
      <c r="F928" s="24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7"/>
      <c r="X928" s="17"/>
      <c r="Y928" s="17"/>
      <c r="Z928" s="17"/>
    </row>
    <row r="929" ht="15.75" customHeight="1">
      <c r="A929" s="24"/>
      <c r="B929" s="24"/>
      <c r="C929" s="15"/>
      <c r="D929" s="24"/>
      <c r="E929" s="24"/>
      <c r="F929" s="24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7"/>
      <c r="X929" s="17"/>
      <c r="Y929" s="17"/>
      <c r="Z929" s="17"/>
    </row>
    <row r="930" ht="15.75" customHeight="1">
      <c r="A930" s="24"/>
      <c r="B930" s="24"/>
      <c r="C930" s="15"/>
      <c r="D930" s="24"/>
      <c r="E930" s="24"/>
      <c r="F930" s="24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7"/>
      <c r="X930" s="17"/>
      <c r="Y930" s="17"/>
      <c r="Z930" s="17"/>
    </row>
    <row r="931" ht="15.75" customHeight="1">
      <c r="A931" s="24"/>
      <c r="B931" s="24"/>
      <c r="C931" s="15"/>
      <c r="D931" s="24"/>
      <c r="E931" s="24"/>
      <c r="F931" s="24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7"/>
      <c r="X931" s="17"/>
      <c r="Y931" s="17"/>
      <c r="Z931" s="17"/>
    </row>
    <row r="932" ht="15.75" customHeight="1">
      <c r="A932" s="24"/>
      <c r="B932" s="24"/>
      <c r="C932" s="15"/>
      <c r="D932" s="24"/>
      <c r="E932" s="24"/>
      <c r="F932" s="24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7"/>
      <c r="X932" s="17"/>
      <c r="Y932" s="17"/>
      <c r="Z932" s="17"/>
    </row>
    <row r="933" ht="15.75" customHeight="1">
      <c r="A933" s="24"/>
      <c r="B933" s="24"/>
      <c r="C933" s="15"/>
      <c r="D933" s="24"/>
      <c r="E933" s="24"/>
      <c r="F933" s="24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7"/>
      <c r="X933" s="17"/>
      <c r="Y933" s="17"/>
      <c r="Z933" s="17"/>
    </row>
    <row r="934" ht="15.75" customHeight="1">
      <c r="A934" s="24"/>
      <c r="B934" s="24"/>
      <c r="C934" s="15"/>
      <c r="D934" s="24"/>
      <c r="E934" s="24"/>
      <c r="F934" s="24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7"/>
      <c r="X934" s="17"/>
      <c r="Y934" s="17"/>
      <c r="Z934" s="17"/>
    </row>
    <row r="935" ht="15.75" customHeight="1">
      <c r="A935" s="24"/>
      <c r="B935" s="24"/>
      <c r="C935" s="15"/>
      <c r="D935" s="24"/>
      <c r="E935" s="24"/>
      <c r="F935" s="24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7"/>
      <c r="X935" s="17"/>
      <c r="Y935" s="17"/>
      <c r="Z935" s="17"/>
    </row>
    <row r="936" ht="15.75" customHeight="1">
      <c r="A936" s="24"/>
      <c r="B936" s="24"/>
      <c r="C936" s="15"/>
      <c r="D936" s="24"/>
      <c r="E936" s="24"/>
      <c r="F936" s="24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7"/>
      <c r="X936" s="17"/>
      <c r="Y936" s="17"/>
      <c r="Z936" s="17"/>
    </row>
    <row r="937" ht="15.75" customHeight="1">
      <c r="A937" s="24"/>
      <c r="B937" s="24"/>
      <c r="C937" s="15"/>
      <c r="D937" s="24"/>
      <c r="E937" s="24"/>
      <c r="F937" s="24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7"/>
      <c r="X937" s="17"/>
      <c r="Y937" s="17"/>
      <c r="Z937" s="17"/>
    </row>
    <row r="938" ht="15.75" customHeight="1">
      <c r="A938" s="24"/>
      <c r="B938" s="24"/>
      <c r="C938" s="15"/>
      <c r="D938" s="24"/>
      <c r="E938" s="24"/>
      <c r="F938" s="24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7"/>
      <c r="X938" s="17"/>
      <c r="Y938" s="17"/>
      <c r="Z938" s="17"/>
    </row>
    <row r="939" ht="15.75" customHeight="1">
      <c r="A939" s="24"/>
      <c r="B939" s="24"/>
      <c r="C939" s="15"/>
      <c r="D939" s="24"/>
      <c r="E939" s="24"/>
      <c r="F939" s="24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7"/>
      <c r="X939" s="17"/>
      <c r="Y939" s="17"/>
      <c r="Z939" s="17"/>
    </row>
    <row r="940" ht="15.75" customHeight="1">
      <c r="A940" s="24"/>
      <c r="B940" s="24"/>
      <c r="C940" s="15"/>
      <c r="D940" s="24"/>
      <c r="E940" s="24"/>
      <c r="F940" s="24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7"/>
      <c r="X940" s="17"/>
      <c r="Y940" s="17"/>
      <c r="Z940" s="17"/>
    </row>
    <row r="941" ht="15.75" customHeight="1">
      <c r="A941" s="24"/>
      <c r="B941" s="24"/>
      <c r="C941" s="15"/>
      <c r="D941" s="24"/>
      <c r="E941" s="24"/>
      <c r="F941" s="24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7"/>
      <c r="X941" s="17"/>
      <c r="Y941" s="17"/>
      <c r="Z941" s="17"/>
    </row>
    <row r="942" ht="15.75" customHeight="1">
      <c r="A942" s="24"/>
      <c r="B942" s="24"/>
      <c r="C942" s="15"/>
      <c r="D942" s="24"/>
      <c r="E942" s="24"/>
      <c r="F942" s="24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7"/>
      <c r="X942" s="17"/>
      <c r="Y942" s="17"/>
      <c r="Z942" s="17"/>
    </row>
    <row r="943" ht="15.75" customHeight="1">
      <c r="A943" s="24"/>
      <c r="B943" s="24"/>
      <c r="C943" s="15"/>
      <c r="D943" s="24"/>
      <c r="E943" s="24"/>
      <c r="F943" s="24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7"/>
      <c r="X943" s="17"/>
      <c r="Y943" s="17"/>
      <c r="Z943" s="17"/>
    </row>
    <row r="944" ht="15.75" customHeight="1">
      <c r="A944" s="24"/>
      <c r="B944" s="24"/>
      <c r="C944" s="15"/>
      <c r="D944" s="24"/>
      <c r="E944" s="24"/>
      <c r="F944" s="24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7"/>
      <c r="X944" s="17"/>
      <c r="Y944" s="17"/>
      <c r="Z944" s="17"/>
    </row>
    <row r="945" ht="15.75" customHeight="1">
      <c r="A945" s="24"/>
      <c r="B945" s="24"/>
      <c r="C945" s="15"/>
      <c r="D945" s="24"/>
      <c r="E945" s="24"/>
      <c r="F945" s="24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7"/>
      <c r="X945" s="17"/>
      <c r="Y945" s="17"/>
      <c r="Z945" s="17"/>
    </row>
    <row r="946" ht="15.75" customHeight="1">
      <c r="A946" s="24"/>
      <c r="B946" s="24"/>
      <c r="C946" s="15"/>
      <c r="D946" s="24"/>
      <c r="E946" s="24"/>
      <c r="F946" s="24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7"/>
      <c r="X946" s="17"/>
      <c r="Y946" s="17"/>
      <c r="Z946" s="17"/>
    </row>
    <row r="947" ht="15.75" customHeight="1">
      <c r="A947" s="24"/>
      <c r="B947" s="24"/>
      <c r="C947" s="15"/>
      <c r="D947" s="24"/>
      <c r="E947" s="24"/>
      <c r="F947" s="24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7"/>
      <c r="X947" s="17"/>
      <c r="Y947" s="17"/>
      <c r="Z947" s="17"/>
    </row>
    <row r="948" ht="15.75" customHeight="1">
      <c r="A948" s="24"/>
      <c r="B948" s="24"/>
      <c r="C948" s="15"/>
      <c r="D948" s="24"/>
      <c r="E948" s="24"/>
      <c r="F948" s="24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7"/>
      <c r="X948" s="17"/>
      <c r="Y948" s="17"/>
      <c r="Z948" s="17"/>
    </row>
    <row r="949" ht="15.75" customHeight="1">
      <c r="A949" s="24"/>
      <c r="B949" s="24"/>
      <c r="C949" s="15"/>
      <c r="D949" s="24"/>
      <c r="E949" s="24"/>
      <c r="F949" s="24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7"/>
      <c r="X949" s="17"/>
      <c r="Y949" s="17"/>
      <c r="Z949" s="17"/>
    </row>
    <row r="950" ht="15.75" customHeight="1">
      <c r="A950" s="24"/>
      <c r="B950" s="24"/>
      <c r="C950" s="15"/>
      <c r="D950" s="24"/>
      <c r="E950" s="24"/>
      <c r="F950" s="24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7"/>
      <c r="X950" s="17"/>
      <c r="Y950" s="17"/>
      <c r="Z950" s="17"/>
    </row>
    <row r="951" ht="15.75" customHeight="1">
      <c r="A951" s="24"/>
      <c r="B951" s="24"/>
      <c r="C951" s="15"/>
      <c r="D951" s="24"/>
      <c r="E951" s="24"/>
      <c r="F951" s="24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7"/>
      <c r="X951" s="17"/>
      <c r="Y951" s="17"/>
      <c r="Z951" s="17"/>
    </row>
    <row r="952" ht="15.75" customHeight="1">
      <c r="A952" s="24"/>
      <c r="B952" s="24"/>
      <c r="C952" s="15"/>
      <c r="D952" s="24"/>
      <c r="E952" s="24"/>
      <c r="F952" s="24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7"/>
      <c r="X952" s="17"/>
      <c r="Y952" s="17"/>
      <c r="Z952" s="17"/>
    </row>
    <row r="953" ht="15.75" customHeight="1">
      <c r="A953" s="24"/>
      <c r="B953" s="24"/>
      <c r="C953" s="15"/>
      <c r="D953" s="24"/>
      <c r="E953" s="24"/>
      <c r="F953" s="24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7"/>
      <c r="X953" s="17"/>
      <c r="Y953" s="17"/>
      <c r="Z953" s="17"/>
    </row>
    <row r="954" ht="15.75" customHeight="1">
      <c r="A954" s="24"/>
      <c r="B954" s="24"/>
      <c r="C954" s="15"/>
      <c r="D954" s="24"/>
      <c r="E954" s="24"/>
      <c r="F954" s="24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7"/>
      <c r="X954" s="17"/>
      <c r="Y954" s="17"/>
      <c r="Z954" s="17"/>
    </row>
    <row r="955" ht="15.75" customHeight="1">
      <c r="A955" s="24"/>
      <c r="B955" s="24"/>
      <c r="C955" s="15"/>
      <c r="D955" s="24"/>
      <c r="E955" s="24"/>
      <c r="F955" s="24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7"/>
      <c r="X955" s="17"/>
      <c r="Y955" s="17"/>
      <c r="Z955" s="17"/>
    </row>
    <row r="956" ht="15.75" customHeight="1">
      <c r="A956" s="24"/>
      <c r="B956" s="24"/>
      <c r="C956" s="15"/>
      <c r="D956" s="24"/>
      <c r="E956" s="24"/>
      <c r="F956" s="24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7"/>
      <c r="X956" s="17"/>
      <c r="Y956" s="17"/>
      <c r="Z956" s="17"/>
    </row>
    <row r="957" ht="15.75" customHeight="1">
      <c r="A957" s="24"/>
      <c r="B957" s="24"/>
      <c r="C957" s="15"/>
      <c r="D957" s="24"/>
      <c r="E957" s="24"/>
      <c r="F957" s="24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7"/>
      <c r="X957" s="17"/>
      <c r="Y957" s="17"/>
      <c r="Z957" s="17"/>
    </row>
    <row r="958" ht="15.75" customHeight="1">
      <c r="A958" s="24"/>
      <c r="B958" s="24"/>
      <c r="C958" s="15"/>
      <c r="D958" s="24"/>
      <c r="E958" s="24"/>
      <c r="F958" s="24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7"/>
      <c r="X958" s="17"/>
      <c r="Y958" s="17"/>
      <c r="Z958" s="17"/>
    </row>
    <row r="959" ht="15.75" customHeight="1">
      <c r="A959" s="24"/>
      <c r="B959" s="24"/>
      <c r="C959" s="15"/>
      <c r="D959" s="24"/>
      <c r="E959" s="24"/>
      <c r="F959" s="24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7"/>
      <c r="X959" s="17"/>
      <c r="Y959" s="17"/>
      <c r="Z959" s="17"/>
    </row>
    <row r="960" ht="15.75" customHeight="1">
      <c r="A960" s="24"/>
      <c r="B960" s="24"/>
      <c r="C960" s="15"/>
      <c r="D960" s="24"/>
      <c r="E960" s="24"/>
      <c r="F960" s="24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7"/>
      <c r="X960" s="17"/>
      <c r="Y960" s="17"/>
      <c r="Z960" s="17"/>
    </row>
    <row r="961" ht="15.75" customHeight="1">
      <c r="A961" s="24"/>
      <c r="B961" s="24"/>
      <c r="C961" s="15"/>
      <c r="D961" s="24"/>
      <c r="E961" s="24"/>
      <c r="F961" s="24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7"/>
      <c r="X961" s="17"/>
      <c r="Y961" s="17"/>
      <c r="Z961" s="17"/>
    </row>
    <row r="962" ht="15.75" customHeight="1">
      <c r="A962" s="24"/>
      <c r="B962" s="24"/>
      <c r="C962" s="15"/>
      <c r="D962" s="24"/>
      <c r="E962" s="24"/>
      <c r="F962" s="24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7"/>
      <c r="X962" s="17"/>
      <c r="Y962" s="17"/>
      <c r="Z962" s="17"/>
    </row>
    <row r="963" ht="15.75" customHeight="1">
      <c r="A963" s="24"/>
      <c r="B963" s="24"/>
      <c r="C963" s="15"/>
      <c r="D963" s="24"/>
      <c r="E963" s="24"/>
      <c r="F963" s="24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7"/>
      <c r="X963" s="17"/>
      <c r="Y963" s="17"/>
      <c r="Z963" s="17"/>
    </row>
    <row r="964" ht="15.75" customHeight="1">
      <c r="A964" s="24"/>
      <c r="B964" s="24"/>
      <c r="C964" s="15"/>
      <c r="D964" s="24"/>
      <c r="E964" s="24"/>
      <c r="F964" s="24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7"/>
      <c r="X964" s="17"/>
      <c r="Y964" s="17"/>
      <c r="Z964" s="17"/>
    </row>
    <row r="965" ht="15.75" customHeight="1">
      <c r="A965" s="24"/>
      <c r="B965" s="24"/>
      <c r="C965" s="15"/>
      <c r="D965" s="24"/>
      <c r="E965" s="24"/>
      <c r="F965" s="24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7"/>
      <c r="X965" s="17"/>
      <c r="Y965" s="17"/>
      <c r="Z965" s="17"/>
    </row>
    <row r="966" ht="15.75" customHeight="1">
      <c r="A966" s="24"/>
      <c r="B966" s="24"/>
      <c r="C966" s="15"/>
      <c r="D966" s="24"/>
      <c r="E966" s="24"/>
      <c r="F966" s="24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7"/>
      <c r="X966" s="17"/>
      <c r="Y966" s="17"/>
      <c r="Z966" s="17"/>
    </row>
    <row r="967" ht="15.75" customHeight="1">
      <c r="A967" s="24"/>
      <c r="B967" s="24"/>
      <c r="C967" s="15"/>
      <c r="D967" s="24"/>
      <c r="E967" s="24"/>
      <c r="F967" s="24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7"/>
      <c r="X967" s="17"/>
      <c r="Y967" s="17"/>
      <c r="Z967" s="17"/>
    </row>
    <row r="968" ht="15.75" customHeight="1">
      <c r="A968" s="24"/>
      <c r="B968" s="24"/>
      <c r="C968" s="15"/>
      <c r="D968" s="24"/>
      <c r="E968" s="24"/>
      <c r="F968" s="24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7"/>
      <c r="X968" s="17"/>
      <c r="Y968" s="17"/>
      <c r="Z968" s="17"/>
    </row>
    <row r="969" ht="15.75" customHeight="1">
      <c r="A969" s="24"/>
      <c r="B969" s="24"/>
      <c r="C969" s="15"/>
      <c r="D969" s="24"/>
      <c r="E969" s="24"/>
      <c r="F969" s="24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7"/>
      <c r="X969" s="17"/>
      <c r="Y969" s="17"/>
      <c r="Z969" s="17"/>
    </row>
    <row r="970" ht="15.75" customHeight="1">
      <c r="A970" s="24"/>
      <c r="B970" s="24"/>
      <c r="C970" s="15"/>
      <c r="D970" s="24"/>
      <c r="E970" s="24"/>
      <c r="F970" s="24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7"/>
      <c r="X970" s="17"/>
      <c r="Y970" s="17"/>
      <c r="Z970" s="17"/>
    </row>
    <row r="971" ht="15.75" customHeight="1">
      <c r="A971" s="24"/>
      <c r="B971" s="24"/>
      <c r="C971" s="15"/>
      <c r="D971" s="24"/>
      <c r="E971" s="24"/>
      <c r="F971" s="24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7"/>
      <c r="X971" s="17"/>
      <c r="Y971" s="17"/>
      <c r="Z971" s="17"/>
    </row>
    <row r="972" ht="15.75" customHeight="1">
      <c r="A972" s="24"/>
      <c r="B972" s="24"/>
      <c r="C972" s="15"/>
      <c r="D972" s="24"/>
      <c r="E972" s="24"/>
      <c r="F972" s="24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7"/>
      <c r="X972" s="17"/>
      <c r="Y972" s="17"/>
      <c r="Z972" s="17"/>
    </row>
    <row r="973" ht="15.75" customHeight="1">
      <c r="A973" s="24"/>
      <c r="B973" s="24"/>
      <c r="C973" s="15"/>
      <c r="D973" s="24"/>
      <c r="E973" s="24"/>
      <c r="F973" s="24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7"/>
      <c r="X973" s="17"/>
      <c r="Y973" s="17"/>
      <c r="Z973" s="17"/>
    </row>
    <row r="974" ht="15.75" customHeight="1">
      <c r="A974" s="24"/>
      <c r="B974" s="24"/>
      <c r="C974" s="15"/>
      <c r="D974" s="24"/>
      <c r="E974" s="24"/>
      <c r="F974" s="24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7"/>
      <c r="X974" s="17"/>
      <c r="Y974" s="17"/>
      <c r="Z974" s="17"/>
    </row>
    <row r="975" ht="15.75" customHeight="1">
      <c r="A975" s="24"/>
      <c r="B975" s="24"/>
      <c r="C975" s="15"/>
      <c r="D975" s="24"/>
      <c r="E975" s="24"/>
      <c r="F975" s="24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7"/>
      <c r="X975" s="17"/>
      <c r="Y975" s="17"/>
      <c r="Z975" s="17"/>
    </row>
    <row r="976" ht="15.75" customHeight="1">
      <c r="A976" s="24"/>
      <c r="B976" s="24"/>
      <c r="C976" s="15"/>
      <c r="D976" s="24"/>
      <c r="E976" s="24"/>
      <c r="F976" s="24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7"/>
      <c r="X976" s="17"/>
      <c r="Y976" s="17"/>
      <c r="Z976" s="17"/>
    </row>
    <row r="977" ht="15.75" customHeight="1">
      <c r="A977" s="24"/>
      <c r="B977" s="24"/>
      <c r="C977" s="15"/>
      <c r="D977" s="24"/>
      <c r="E977" s="24"/>
      <c r="F977" s="24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7"/>
      <c r="X977" s="17"/>
      <c r="Y977" s="17"/>
      <c r="Z977" s="17"/>
    </row>
    <row r="978" ht="15.75" customHeight="1">
      <c r="A978" s="24"/>
      <c r="B978" s="24"/>
      <c r="C978" s="15"/>
      <c r="D978" s="24"/>
      <c r="E978" s="24"/>
      <c r="F978" s="24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7"/>
      <c r="X978" s="17"/>
      <c r="Y978" s="17"/>
      <c r="Z978" s="17"/>
    </row>
    <row r="979" ht="15.75" customHeight="1">
      <c r="A979" s="24"/>
      <c r="B979" s="24"/>
      <c r="C979" s="15"/>
      <c r="D979" s="24"/>
      <c r="E979" s="24"/>
      <c r="F979" s="24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7"/>
      <c r="X979" s="17"/>
      <c r="Y979" s="17"/>
      <c r="Z979" s="17"/>
    </row>
    <row r="980" ht="15.75" customHeight="1">
      <c r="A980" s="24"/>
      <c r="B980" s="24"/>
      <c r="C980" s="15"/>
      <c r="D980" s="24"/>
      <c r="E980" s="24"/>
      <c r="F980" s="24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7"/>
      <c r="X980" s="17"/>
      <c r="Y980" s="17"/>
      <c r="Z980" s="17"/>
    </row>
    <row r="981" ht="15.75" customHeight="1">
      <c r="A981" s="24"/>
      <c r="B981" s="24"/>
      <c r="C981" s="15"/>
      <c r="D981" s="24"/>
      <c r="E981" s="24"/>
      <c r="F981" s="24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7"/>
      <c r="X981" s="17"/>
      <c r="Y981" s="17"/>
      <c r="Z981" s="17"/>
    </row>
    <row r="982" ht="15.75" customHeight="1">
      <c r="A982" s="24"/>
      <c r="B982" s="24"/>
      <c r="C982" s="15"/>
      <c r="D982" s="24"/>
      <c r="E982" s="24"/>
      <c r="F982" s="24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7"/>
      <c r="X982" s="17"/>
      <c r="Y982" s="17"/>
      <c r="Z982" s="17"/>
    </row>
    <row r="983" ht="15.75" customHeight="1">
      <c r="A983" s="24"/>
      <c r="B983" s="24"/>
      <c r="C983" s="15"/>
      <c r="D983" s="24"/>
      <c r="E983" s="24"/>
      <c r="F983" s="24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7"/>
      <c r="X983" s="17"/>
      <c r="Y983" s="17"/>
      <c r="Z983" s="17"/>
    </row>
    <row r="984" ht="15.75" customHeight="1">
      <c r="A984" s="24"/>
      <c r="B984" s="24"/>
      <c r="C984" s="15"/>
      <c r="D984" s="24"/>
      <c r="E984" s="24"/>
      <c r="F984" s="24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7"/>
      <c r="X984" s="17"/>
      <c r="Y984" s="17"/>
      <c r="Z984" s="17"/>
    </row>
    <row r="985" ht="15.75" customHeight="1">
      <c r="A985" s="24"/>
      <c r="B985" s="24"/>
      <c r="C985" s="15"/>
      <c r="D985" s="24"/>
      <c r="E985" s="24"/>
      <c r="F985" s="24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7"/>
      <c r="X985" s="17"/>
      <c r="Y985" s="17"/>
      <c r="Z985" s="17"/>
    </row>
    <row r="986" ht="15.75" customHeight="1">
      <c r="A986" s="24"/>
      <c r="B986" s="24"/>
      <c r="C986" s="15"/>
      <c r="D986" s="24"/>
      <c r="E986" s="24"/>
      <c r="F986" s="24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7"/>
      <c r="X986" s="17"/>
      <c r="Y986" s="17"/>
      <c r="Z986" s="17"/>
    </row>
    <row r="987" ht="15.75" customHeight="1">
      <c r="A987" s="24"/>
      <c r="B987" s="24"/>
      <c r="C987" s="15"/>
      <c r="D987" s="24"/>
      <c r="E987" s="24"/>
      <c r="F987" s="24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7"/>
      <c r="X987" s="17"/>
      <c r="Y987" s="17"/>
      <c r="Z987" s="17"/>
    </row>
    <row r="988" ht="15.75" customHeight="1">
      <c r="A988" s="24"/>
      <c r="B988" s="24"/>
      <c r="C988" s="15"/>
      <c r="D988" s="24"/>
      <c r="E988" s="24"/>
      <c r="F988" s="24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7"/>
      <c r="X988" s="17"/>
      <c r="Y988" s="17"/>
      <c r="Z988" s="17"/>
    </row>
    <row r="989" ht="15.75" customHeight="1">
      <c r="A989" s="24"/>
      <c r="B989" s="24"/>
      <c r="C989" s="15"/>
      <c r="D989" s="24"/>
      <c r="E989" s="24"/>
      <c r="F989" s="24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7"/>
      <c r="X989" s="17"/>
      <c r="Y989" s="17"/>
      <c r="Z989" s="17"/>
    </row>
    <row r="990" ht="15.75" customHeight="1">
      <c r="A990" s="24"/>
      <c r="B990" s="24"/>
      <c r="C990" s="15"/>
      <c r="D990" s="24"/>
      <c r="E990" s="24"/>
      <c r="F990" s="24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7"/>
      <c r="X990" s="17"/>
      <c r="Y990" s="17"/>
      <c r="Z990" s="17"/>
    </row>
    <row r="991" ht="15.75" customHeight="1">
      <c r="A991" s="24"/>
      <c r="B991" s="24"/>
      <c r="C991" s="15"/>
      <c r="D991" s="24"/>
      <c r="E991" s="24"/>
      <c r="F991" s="24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7"/>
      <c r="X991" s="17"/>
      <c r="Y991" s="17"/>
      <c r="Z991" s="17"/>
    </row>
    <row r="992" ht="15.75" customHeight="1">
      <c r="A992" s="24"/>
      <c r="B992" s="24"/>
      <c r="C992" s="15"/>
      <c r="D992" s="24"/>
      <c r="E992" s="24"/>
      <c r="F992" s="24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7"/>
      <c r="X992" s="17"/>
      <c r="Y992" s="17"/>
      <c r="Z992" s="17"/>
    </row>
    <row r="993" ht="15.75" customHeight="1">
      <c r="A993" s="24"/>
      <c r="B993" s="24"/>
      <c r="C993" s="15"/>
      <c r="D993" s="24"/>
      <c r="E993" s="24"/>
      <c r="F993" s="24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7"/>
      <c r="X993" s="17"/>
      <c r="Y993" s="17"/>
      <c r="Z993" s="17"/>
    </row>
    <row r="994" ht="15.75" customHeight="1">
      <c r="A994" s="24"/>
      <c r="B994" s="24"/>
      <c r="C994" s="15"/>
      <c r="D994" s="24"/>
      <c r="E994" s="24"/>
      <c r="F994" s="24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7"/>
      <c r="X994" s="17"/>
      <c r="Y994" s="17"/>
      <c r="Z994" s="17"/>
    </row>
    <row r="995" ht="15.75" customHeight="1">
      <c r="A995" s="24"/>
      <c r="B995" s="24"/>
      <c r="C995" s="15"/>
      <c r="D995" s="24"/>
      <c r="E995" s="24"/>
      <c r="F995" s="24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7"/>
      <c r="X995" s="17"/>
      <c r="Y995" s="17"/>
      <c r="Z995" s="17"/>
    </row>
    <row r="996" ht="15.75" customHeight="1">
      <c r="A996" s="24"/>
      <c r="B996" s="24"/>
      <c r="C996" s="15"/>
      <c r="D996" s="24"/>
      <c r="E996" s="24"/>
      <c r="F996" s="24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7"/>
      <c r="X996" s="17"/>
      <c r="Y996" s="17"/>
      <c r="Z996" s="17"/>
    </row>
    <row r="997" ht="15.75" customHeight="1">
      <c r="A997" s="24"/>
      <c r="B997" s="24"/>
      <c r="C997" s="15"/>
      <c r="D997" s="24"/>
      <c r="E997" s="24"/>
      <c r="F997" s="24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7"/>
      <c r="X997" s="17"/>
      <c r="Y997" s="17"/>
      <c r="Z997" s="17"/>
    </row>
    <row r="998" ht="15.75" customHeight="1">
      <c r="A998" s="24"/>
      <c r="B998" s="24"/>
      <c r="C998" s="15"/>
      <c r="D998" s="24"/>
      <c r="E998" s="24"/>
      <c r="F998" s="24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7"/>
      <c r="X998" s="17"/>
      <c r="Y998" s="17"/>
      <c r="Z998" s="17"/>
    </row>
    <row r="999" ht="15.75" customHeight="1">
      <c r="A999" s="24"/>
      <c r="B999" s="24"/>
      <c r="C999" s="15"/>
      <c r="D999" s="24"/>
      <c r="E999" s="24"/>
      <c r="F999" s="24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7"/>
      <c r="X999" s="17"/>
      <c r="Y999" s="17"/>
      <c r="Z999" s="17"/>
    </row>
    <row r="1000" ht="15.75" customHeight="1">
      <c r="A1000" s="24"/>
      <c r="B1000" s="24"/>
      <c r="C1000" s="15"/>
      <c r="D1000" s="24"/>
      <c r="E1000" s="24"/>
      <c r="F1000" s="24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7"/>
      <c r="X1000" s="17"/>
      <c r="Y1000" s="17"/>
      <c r="Z1000" s="17"/>
    </row>
    <row r="1001" ht="15.75" customHeight="1">
      <c r="A1001" s="24"/>
      <c r="B1001" s="24"/>
      <c r="C1001" s="15"/>
      <c r="D1001" s="24"/>
      <c r="E1001" s="24"/>
      <c r="F1001" s="24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7"/>
      <c r="X1001" s="17"/>
      <c r="Y1001" s="17"/>
      <c r="Z1001" s="17"/>
    </row>
    <row r="1002" ht="15.75" customHeight="1">
      <c r="A1002" s="24"/>
      <c r="B1002" s="24"/>
      <c r="C1002" s="15"/>
      <c r="D1002" s="24"/>
      <c r="E1002" s="24"/>
      <c r="F1002" s="24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7"/>
      <c r="X1002" s="17"/>
      <c r="Y1002" s="17"/>
      <c r="Z1002" s="17"/>
    </row>
    <row r="1003" ht="15.75" customHeight="1">
      <c r="A1003" s="24"/>
      <c r="B1003" s="24"/>
      <c r="C1003" s="15"/>
      <c r="D1003" s="24"/>
      <c r="E1003" s="24"/>
      <c r="F1003" s="24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7"/>
      <c r="X1003" s="17"/>
      <c r="Y1003" s="17"/>
      <c r="Z1003" s="17"/>
    </row>
    <row r="1004" ht="15.75" customHeight="1">
      <c r="A1004" s="24"/>
      <c r="B1004" s="24"/>
      <c r="C1004" s="15"/>
      <c r="D1004" s="24"/>
      <c r="E1004" s="24"/>
      <c r="F1004" s="24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7"/>
      <c r="X1004" s="17"/>
      <c r="Y1004" s="17"/>
      <c r="Z1004" s="17"/>
    </row>
    <row r="1005" ht="15.75" customHeight="1">
      <c r="A1005" s="24"/>
      <c r="B1005" s="24"/>
      <c r="C1005" s="15"/>
      <c r="D1005" s="24"/>
      <c r="E1005" s="24"/>
      <c r="F1005" s="24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7"/>
      <c r="X1005" s="17"/>
      <c r="Y1005" s="17"/>
      <c r="Z1005" s="17"/>
    </row>
    <row r="1006" ht="15.75" customHeight="1">
      <c r="A1006" s="24"/>
      <c r="B1006" s="24"/>
      <c r="C1006" s="15"/>
      <c r="D1006" s="24"/>
      <c r="E1006" s="24"/>
      <c r="F1006" s="24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7"/>
      <c r="X1006" s="17"/>
      <c r="Y1006" s="17"/>
      <c r="Z1006" s="17"/>
    </row>
    <row r="1007" ht="15.75" customHeight="1">
      <c r="A1007" s="24"/>
      <c r="B1007" s="24"/>
      <c r="C1007" s="15"/>
      <c r="D1007" s="24"/>
      <c r="E1007" s="24"/>
      <c r="F1007" s="24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7"/>
      <c r="X1007" s="17"/>
      <c r="Y1007" s="17"/>
      <c r="Z1007" s="17"/>
    </row>
    <row r="1008" ht="15.75" customHeight="1">
      <c r="A1008" s="24"/>
      <c r="B1008" s="24"/>
      <c r="C1008" s="15"/>
      <c r="D1008" s="24"/>
      <c r="E1008" s="24"/>
      <c r="F1008" s="24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7"/>
      <c r="X1008" s="17"/>
      <c r="Y1008" s="17"/>
      <c r="Z1008" s="17"/>
    </row>
    <row r="1009" ht="15.75" customHeight="1">
      <c r="A1009" s="24"/>
      <c r="B1009" s="24"/>
      <c r="C1009" s="15"/>
      <c r="D1009" s="24"/>
      <c r="E1009" s="24"/>
      <c r="F1009" s="24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7"/>
      <c r="X1009" s="17"/>
      <c r="Y1009" s="17"/>
      <c r="Z1009" s="17"/>
    </row>
    <row r="1010" ht="15.75" customHeight="1">
      <c r="A1010" s="24"/>
      <c r="B1010" s="24"/>
      <c r="C1010" s="15"/>
      <c r="D1010" s="24"/>
      <c r="E1010" s="24"/>
      <c r="F1010" s="24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7"/>
      <c r="X1010" s="17"/>
      <c r="Y1010" s="17"/>
      <c r="Z1010" s="17"/>
    </row>
    <row r="1011" ht="15.75" customHeight="1">
      <c r="A1011" s="24"/>
      <c r="B1011" s="24"/>
      <c r="C1011" s="15"/>
      <c r="D1011" s="24"/>
      <c r="E1011" s="24"/>
      <c r="F1011" s="24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7"/>
      <c r="X1011" s="17"/>
      <c r="Y1011" s="17"/>
      <c r="Z1011" s="17"/>
    </row>
    <row r="1012" ht="15.75" customHeight="1">
      <c r="A1012" s="24"/>
      <c r="B1012" s="24"/>
      <c r="C1012" s="15"/>
      <c r="D1012" s="24"/>
      <c r="E1012" s="24"/>
      <c r="F1012" s="24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7"/>
      <c r="X1012" s="17"/>
      <c r="Y1012" s="17"/>
      <c r="Z1012" s="17"/>
    </row>
    <row r="1013" ht="15.75" customHeight="1">
      <c r="A1013" s="24"/>
      <c r="B1013" s="24"/>
      <c r="C1013" s="15"/>
      <c r="D1013" s="24"/>
      <c r="E1013" s="24"/>
      <c r="F1013" s="24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7"/>
      <c r="X1013" s="17"/>
      <c r="Y1013" s="17"/>
      <c r="Z1013" s="17"/>
    </row>
    <row r="1014" ht="15.75" customHeight="1">
      <c r="A1014" s="24"/>
      <c r="B1014" s="24"/>
      <c r="C1014" s="15"/>
      <c r="D1014" s="24"/>
      <c r="E1014" s="24"/>
      <c r="F1014" s="24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7"/>
      <c r="X1014" s="17"/>
      <c r="Y1014" s="17"/>
      <c r="Z1014" s="17"/>
    </row>
    <row r="1015" ht="15.75" customHeight="1">
      <c r="A1015" s="24"/>
      <c r="B1015" s="24"/>
      <c r="C1015" s="15"/>
      <c r="D1015" s="24"/>
      <c r="E1015" s="24"/>
      <c r="F1015" s="24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7"/>
      <c r="X1015" s="17"/>
      <c r="Y1015" s="17"/>
      <c r="Z1015" s="17"/>
    </row>
    <row r="1016" ht="15.75" customHeight="1">
      <c r="A1016" s="24"/>
      <c r="B1016" s="24"/>
      <c r="C1016" s="15"/>
      <c r="D1016" s="24"/>
      <c r="E1016" s="24"/>
      <c r="F1016" s="24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7"/>
      <c r="X1016" s="17"/>
      <c r="Y1016" s="17"/>
      <c r="Z1016" s="17"/>
    </row>
    <row r="1017" ht="15.75" customHeight="1">
      <c r="A1017" s="24"/>
      <c r="B1017" s="24"/>
      <c r="C1017" s="15"/>
      <c r="D1017" s="24"/>
      <c r="E1017" s="24"/>
      <c r="F1017" s="24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7"/>
      <c r="X1017" s="17"/>
      <c r="Y1017" s="17"/>
      <c r="Z1017" s="17"/>
    </row>
    <row r="1018" ht="15.75" customHeight="1">
      <c r="A1018" s="24"/>
      <c r="B1018" s="24"/>
      <c r="C1018" s="15"/>
      <c r="D1018" s="24"/>
      <c r="E1018" s="24"/>
      <c r="F1018" s="24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7"/>
      <c r="X1018" s="17"/>
      <c r="Y1018" s="17"/>
      <c r="Z1018" s="17"/>
    </row>
    <row r="1019" ht="15.75" customHeight="1">
      <c r="A1019" s="24"/>
      <c r="B1019" s="24"/>
      <c r="C1019" s="15"/>
      <c r="D1019" s="24"/>
      <c r="E1019" s="24"/>
      <c r="F1019" s="24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7"/>
      <c r="X1019" s="17"/>
      <c r="Y1019" s="17"/>
      <c r="Z1019" s="17"/>
    </row>
    <row r="1020" ht="15.75" customHeight="1">
      <c r="A1020" s="24"/>
      <c r="B1020" s="24"/>
      <c r="C1020" s="15"/>
      <c r="D1020" s="24"/>
      <c r="E1020" s="24"/>
      <c r="F1020" s="24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7"/>
      <c r="X1020" s="17"/>
      <c r="Y1020" s="17"/>
      <c r="Z1020" s="17"/>
    </row>
    <row r="1021" ht="15.75" customHeight="1">
      <c r="A1021" s="24"/>
      <c r="B1021" s="24"/>
      <c r="C1021" s="15"/>
      <c r="D1021" s="24"/>
      <c r="E1021" s="24"/>
      <c r="F1021" s="24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7"/>
      <c r="X1021" s="17"/>
      <c r="Y1021" s="17"/>
      <c r="Z1021" s="17"/>
    </row>
    <row r="1022" ht="15.75" customHeight="1">
      <c r="A1022" s="24"/>
      <c r="B1022" s="24"/>
      <c r="C1022" s="15"/>
      <c r="D1022" s="24"/>
      <c r="E1022" s="24"/>
      <c r="F1022" s="24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7"/>
      <c r="X1022" s="17"/>
      <c r="Y1022" s="17"/>
      <c r="Z1022" s="17"/>
    </row>
    <row r="1023" ht="15.75" customHeight="1">
      <c r="A1023" s="24"/>
      <c r="B1023" s="24"/>
      <c r="C1023" s="15"/>
      <c r="D1023" s="24"/>
      <c r="E1023" s="24"/>
      <c r="F1023" s="24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7"/>
      <c r="X1023" s="17"/>
      <c r="Y1023" s="17"/>
      <c r="Z1023" s="17"/>
    </row>
    <row r="1024" ht="15.75" customHeight="1">
      <c r="A1024" s="24"/>
      <c r="B1024" s="24"/>
      <c r="C1024" s="15"/>
      <c r="D1024" s="24"/>
      <c r="E1024" s="24"/>
      <c r="F1024" s="24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7"/>
      <c r="X1024" s="17"/>
      <c r="Y1024" s="17"/>
      <c r="Z1024" s="17"/>
    </row>
    <row r="1025" ht="15.75" customHeight="1">
      <c r="A1025" s="24"/>
      <c r="B1025" s="24"/>
      <c r="C1025" s="15"/>
      <c r="D1025" s="24"/>
      <c r="E1025" s="24"/>
      <c r="F1025" s="24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7"/>
      <c r="X1025" s="17"/>
      <c r="Y1025" s="17"/>
      <c r="Z1025" s="17"/>
    </row>
    <row r="1026" ht="15.75" customHeight="1">
      <c r="A1026" s="24"/>
      <c r="B1026" s="24"/>
      <c r="C1026" s="15"/>
      <c r="D1026" s="24"/>
      <c r="E1026" s="24"/>
      <c r="F1026" s="24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7"/>
      <c r="X1026" s="17"/>
      <c r="Y1026" s="17"/>
      <c r="Z1026" s="17"/>
    </row>
    <row r="1027" ht="15.75" customHeight="1">
      <c r="A1027" s="24"/>
      <c r="B1027" s="24"/>
      <c r="C1027" s="15"/>
      <c r="D1027" s="24"/>
      <c r="E1027" s="24"/>
      <c r="F1027" s="24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7"/>
      <c r="X1027" s="17"/>
      <c r="Y1027" s="17"/>
      <c r="Z1027" s="17"/>
    </row>
    <row r="1028" ht="15.75" customHeight="1">
      <c r="A1028" s="24"/>
      <c r="B1028" s="24"/>
      <c r="C1028" s="15"/>
      <c r="D1028" s="24"/>
      <c r="E1028" s="24"/>
      <c r="F1028" s="24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7"/>
      <c r="X1028" s="17"/>
      <c r="Y1028" s="17"/>
      <c r="Z1028" s="17"/>
    </row>
    <row r="1029" ht="15.75" customHeight="1">
      <c r="A1029" s="24"/>
      <c r="B1029" s="24"/>
      <c r="C1029" s="15"/>
      <c r="D1029" s="24"/>
      <c r="E1029" s="24"/>
      <c r="F1029" s="24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7"/>
      <c r="X1029" s="17"/>
      <c r="Y1029" s="17"/>
      <c r="Z1029" s="17"/>
    </row>
    <row r="1030" ht="15.75" customHeight="1">
      <c r="A1030" s="24"/>
      <c r="B1030" s="24"/>
      <c r="C1030" s="15"/>
      <c r="D1030" s="24"/>
      <c r="E1030" s="24"/>
      <c r="F1030" s="24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7"/>
      <c r="X1030" s="17"/>
      <c r="Y1030" s="17"/>
      <c r="Z1030" s="17"/>
    </row>
    <row r="1031" ht="15.75" customHeight="1">
      <c r="A1031" s="24"/>
      <c r="B1031" s="24"/>
      <c r="C1031" s="15"/>
      <c r="D1031" s="24"/>
      <c r="E1031" s="24"/>
      <c r="F1031" s="24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7"/>
      <c r="X1031" s="17"/>
      <c r="Y1031" s="17"/>
      <c r="Z1031" s="17"/>
    </row>
    <row r="1032" ht="15.75" customHeight="1">
      <c r="A1032" s="24"/>
      <c r="B1032" s="24"/>
      <c r="C1032" s="15"/>
      <c r="D1032" s="24"/>
      <c r="E1032" s="24"/>
      <c r="F1032" s="24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7"/>
      <c r="X1032" s="17"/>
      <c r="Y1032" s="17"/>
      <c r="Z1032" s="17"/>
    </row>
    <row r="1033" ht="15.75" customHeight="1">
      <c r="A1033" s="24"/>
      <c r="B1033" s="24"/>
      <c r="C1033" s="15"/>
      <c r="D1033" s="24"/>
      <c r="E1033" s="24"/>
      <c r="F1033" s="24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7"/>
      <c r="X1033" s="17"/>
      <c r="Y1033" s="17"/>
      <c r="Z1033" s="17"/>
    </row>
    <row r="1034" ht="15.75" customHeight="1">
      <c r="A1034" s="24"/>
      <c r="B1034" s="24"/>
      <c r="C1034" s="15"/>
      <c r="D1034" s="24"/>
      <c r="E1034" s="24"/>
      <c r="F1034" s="24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7"/>
      <c r="X1034" s="17"/>
      <c r="Y1034" s="17"/>
      <c r="Z1034" s="17"/>
    </row>
    <row r="1035" ht="15.75" customHeight="1">
      <c r="A1035" s="24"/>
      <c r="B1035" s="24"/>
      <c r="C1035" s="15"/>
      <c r="D1035" s="24"/>
      <c r="E1035" s="24"/>
      <c r="F1035" s="24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7"/>
      <c r="X1035" s="17"/>
      <c r="Y1035" s="17"/>
      <c r="Z1035" s="17"/>
    </row>
    <row r="1036" ht="15.75" customHeight="1">
      <c r="A1036" s="24"/>
      <c r="B1036" s="24"/>
      <c r="C1036" s="15"/>
      <c r="D1036" s="24"/>
      <c r="E1036" s="24"/>
      <c r="F1036" s="24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7"/>
      <c r="X1036" s="17"/>
      <c r="Y1036" s="17"/>
      <c r="Z1036" s="17"/>
    </row>
    <row r="1037" ht="15.75" customHeight="1">
      <c r="A1037" s="24"/>
      <c r="B1037" s="24"/>
      <c r="C1037" s="15"/>
      <c r="D1037" s="24"/>
      <c r="E1037" s="24"/>
      <c r="F1037" s="24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7"/>
      <c r="X1037" s="17"/>
      <c r="Y1037" s="17"/>
      <c r="Z1037" s="17"/>
    </row>
    <row r="1038" ht="15.75" customHeight="1">
      <c r="A1038" s="24"/>
      <c r="B1038" s="24"/>
      <c r="C1038" s="15"/>
      <c r="D1038" s="24"/>
      <c r="E1038" s="24"/>
      <c r="F1038" s="24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7"/>
      <c r="X1038" s="17"/>
      <c r="Y1038" s="17"/>
      <c r="Z1038" s="17"/>
    </row>
    <row r="1039" ht="15.75" customHeight="1">
      <c r="A1039" s="24"/>
      <c r="B1039" s="24"/>
      <c r="C1039" s="15"/>
      <c r="D1039" s="24"/>
      <c r="E1039" s="24"/>
      <c r="F1039" s="24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7"/>
      <c r="X1039" s="17"/>
      <c r="Y1039" s="17"/>
      <c r="Z1039" s="17"/>
    </row>
    <row r="1040" ht="15.75" customHeight="1">
      <c r="A1040" s="24"/>
      <c r="B1040" s="24"/>
      <c r="C1040" s="15"/>
      <c r="D1040" s="24"/>
      <c r="E1040" s="24"/>
      <c r="F1040" s="24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7"/>
      <c r="X1040" s="17"/>
      <c r="Y1040" s="17"/>
      <c r="Z1040" s="17"/>
    </row>
    <row r="1041" ht="15.75" customHeight="1">
      <c r="A1041" s="24"/>
      <c r="B1041" s="24"/>
      <c r="C1041" s="15"/>
      <c r="D1041" s="24"/>
      <c r="E1041" s="24"/>
      <c r="F1041" s="24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7"/>
      <c r="X1041" s="17"/>
      <c r="Y1041" s="17"/>
      <c r="Z1041" s="17"/>
    </row>
    <row r="1042" ht="15.75" customHeight="1">
      <c r="A1042" s="24"/>
      <c r="B1042" s="24"/>
      <c r="C1042" s="15"/>
      <c r="D1042" s="24"/>
      <c r="E1042" s="24"/>
      <c r="F1042" s="24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7"/>
      <c r="X1042" s="17"/>
      <c r="Y1042" s="17"/>
      <c r="Z1042" s="17"/>
    </row>
    <row r="1043" ht="15.75" customHeight="1">
      <c r="A1043" s="24"/>
      <c r="B1043" s="24"/>
      <c r="C1043" s="15"/>
      <c r="D1043" s="24"/>
      <c r="E1043" s="24"/>
      <c r="F1043" s="24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7"/>
      <c r="X1043" s="17"/>
      <c r="Y1043" s="17"/>
      <c r="Z1043" s="17"/>
    </row>
    <row r="1044" ht="15.75" customHeight="1">
      <c r="A1044" s="24"/>
      <c r="B1044" s="24"/>
      <c r="C1044" s="15"/>
      <c r="D1044" s="24"/>
      <c r="E1044" s="24"/>
      <c r="F1044" s="24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7"/>
      <c r="X1044" s="17"/>
      <c r="Y1044" s="17"/>
      <c r="Z1044" s="17"/>
    </row>
    <row r="1045" ht="15.75" customHeight="1">
      <c r="A1045" s="24"/>
      <c r="B1045" s="24"/>
      <c r="C1045" s="15"/>
      <c r="D1045" s="24"/>
      <c r="E1045" s="24"/>
      <c r="F1045" s="24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7"/>
      <c r="X1045" s="17"/>
      <c r="Y1045" s="17"/>
      <c r="Z1045" s="17"/>
    </row>
    <row r="1046" ht="15.75" customHeight="1">
      <c r="A1046" s="24"/>
      <c r="B1046" s="24"/>
      <c r="C1046" s="15"/>
      <c r="D1046" s="24"/>
      <c r="E1046" s="24"/>
      <c r="F1046" s="24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7"/>
      <c r="X1046" s="17"/>
      <c r="Y1046" s="17"/>
      <c r="Z1046" s="17"/>
    </row>
    <row r="1047" ht="15.75" customHeight="1">
      <c r="A1047" s="24"/>
      <c r="B1047" s="24"/>
      <c r="C1047" s="15"/>
      <c r="D1047" s="24"/>
      <c r="E1047" s="24"/>
      <c r="F1047" s="24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7"/>
      <c r="X1047" s="17"/>
      <c r="Y1047" s="17"/>
      <c r="Z1047" s="17"/>
    </row>
    <row r="1048" ht="15.75" customHeight="1">
      <c r="A1048" s="24"/>
      <c r="B1048" s="24"/>
      <c r="C1048" s="15"/>
      <c r="D1048" s="24"/>
      <c r="E1048" s="24"/>
      <c r="F1048" s="24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7"/>
      <c r="X1048" s="17"/>
      <c r="Y1048" s="17"/>
      <c r="Z1048" s="17"/>
    </row>
    <row r="1049" ht="15.75" customHeight="1">
      <c r="A1049" s="24"/>
      <c r="B1049" s="24"/>
      <c r="C1049" s="15"/>
      <c r="D1049" s="24"/>
      <c r="E1049" s="24"/>
      <c r="F1049" s="24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7"/>
      <c r="X1049" s="17"/>
      <c r="Y1049" s="17"/>
      <c r="Z1049" s="17"/>
    </row>
    <row r="1050" ht="15.75" customHeight="1">
      <c r="A1050" s="24"/>
      <c r="B1050" s="24"/>
      <c r="C1050" s="15"/>
      <c r="D1050" s="24"/>
      <c r="E1050" s="24"/>
      <c r="F1050" s="24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7"/>
      <c r="X1050" s="17"/>
      <c r="Y1050" s="17"/>
      <c r="Z1050" s="17"/>
    </row>
    <row r="1051" ht="15.75" customHeight="1">
      <c r="A1051" s="24"/>
      <c r="B1051" s="24"/>
      <c r="C1051" s="15"/>
      <c r="D1051" s="24"/>
      <c r="E1051" s="24"/>
      <c r="F1051" s="24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7"/>
      <c r="X1051" s="17"/>
      <c r="Y1051" s="17"/>
      <c r="Z1051" s="17"/>
    </row>
    <row r="1052" ht="15.75" customHeight="1">
      <c r="A1052" s="24"/>
      <c r="B1052" s="24"/>
      <c r="C1052" s="15"/>
      <c r="D1052" s="24"/>
      <c r="E1052" s="24"/>
      <c r="F1052" s="24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7"/>
      <c r="X1052" s="17"/>
      <c r="Y1052" s="17"/>
      <c r="Z1052" s="17"/>
    </row>
    <row r="1053" ht="15.75" customHeight="1">
      <c r="A1053" s="24"/>
      <c r="B1053" s="24"/>
      <c r="C1053" s="15"/>
      <c r="D1053" s="24"/>
      <c r="E1053" s="24"/>
      <c r="F1053" s="24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7"/>
      <c r="X1053" s="17"/>
      <c r="Y1053" s="17"/>
      <c r="Z1053" s="17"/>
    </row>
    <row r="1054" ht="15.75" customHeight="1">
      <c r="A1054" s="24"/>
      <c r="B1054" s="24"/>
      <c r="C1054" s="15"/>
      <c r="D1054" s="24"/>
      <c r="E1054" s="24"/>
      <c r="F1054" s="24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7"/>
      <c r="X1054" s="17"/>
      <c r="Y1054" s="17"/>
      <c r="Z1054" s="17"/>
    </row>
    <row r="1055" ht="15.75" customHeight="1">
      <c r="A1055" s="24"/>
      <c r="B1055" s="24"/>
      <c r="C1055" s="15"/>
      <c r="D1055" s="24"/>
      <c r="E1055" s="24"/>
      <c r="F1055" s="24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7"/>
      <c r="X1055" s="17"/>
      <c r="Y1055" s="17"/>
      <c r="Z1055" s="17"/>
    </row>
    <row r="1056" ht="15.75" customHeight="1">
      <c r="A1056" s="24"/>
      <c r="B1056" s="24"/>
      <c r="C1056" s="15"/>
      <c r="D1056" s="24"/>
      <c r="E1056" s="24"/>
      <c r="F1056" s="24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7"/>
      <c r="X1056" s="17"/>
      <c r="Y1056" s="17"/>
      <c r="Z1056" s="17"/>
    </row>
    <row r="1057" ht="15.75" customHeight="1">
      <c r="A1057" s="24"/>
      <c r="B1057" s="24"/>
      <c r="C1057" s="15"/>
      <c r="D1057" s="24"/>
      <c r="E1057" s="24"/>
      <c r="F1057" s="24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7"/>
      <c r="X1057" s="17"/>
      <c r="Y1057" s="17"/>
      <c r="Z1057" s="17"/>
    </row>
    <row r="1058" ht="15.75" customHeight="1">
      <c r="A1058" s="24"/>
      <c r="B1058" s="24"/>
      <c r="C1058" s="15"/>
      <c r="D1058" s="24"/>
      <c r="E1058" s="24"/>
      <c r="F1058" s="24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7"/>
      <c r="X1058" s="17"/>
      <c r="Y1058" s="17"/>
      <c r="Z1058" s="17"/>
    </row>
    <row r="1059" ht="15.75" customHeight="1">
      <c r="A1059" s="24"/>
      <c r="B1059" s="24"/>
      <c r="C1059" s="15"/>
      <c r="D1059" s="24"/>
      <c r="E1059" s="24"/>
      <c r="F1059" s="24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7"/>
      <c r="X1059" s="17"/>
      <c r="Y1059" s="17"/>
      <c r="Z1059" s="17"/>
    </row>
    <row r="1060" ht="15.75" customHeight="1">
      <c r="A1060" s="24"/>
      <c r="B1060" s="24"/>
      <c r="C1060" s="15"/>
      <c r="D1060" s="24"/>
      <c r="E1060" s="24"/>
      <c r="F1060" s="24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7"/>
      <c r="X1060" s="17"/>
      <c r="Y1060" s="17"/>
      <c r="Z1060" s="17"/>
    </row>
    <row r="1061" ht="15.75" customHeight="1">
      <c r="A1061" s="24"/>
      <c r="B1061" s="24"/>
      <c r="C1061" s="15"/>
      <c r="D1061" s="24"/>
      <c r="E1061" s="24"/>
      <c r="F1061" s="24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7"/>
      <c r="X1061" s="17"/>
      <c r="Y1061" s="17"/>
      <c r="Z1061" s="17"/>
    </row>
    <row r="1062" ht="15.75" customHeight="1">
      <c r="A1062" s="24"/>
      <c r="B1062" s="24"/>
      <c r="C1062" s="15"/>
      <c r="D1062" s="24"/>
      <c r="E1062" s="24"/>
      <c r="F1062" s="24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7"/>
      <c r="X1062" s="17"/>
      <c r="Y1062" s="17"/>
      <c r="Z1062" s="17"/>
    </row>
    <row r="1063" ht="15.75" customHeight="1">
      <c r="A1063" s="24"/>
      <c r="B1063" s="24"/>
      <c r="C1063" s="15"/>
      <c r="D1063" s="24"/>
      <c r="E1063" s="24"/>
      <c r="F1063" s="24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7"/>
      <c r="X1063" s="17"/>
      <c r="Y1063" s="17"/>
      <c r="Z1063" s="17"/>
    </row>
    <row r="1064" ht="15.75" customHeight="1">
      <c r="A1064" s="24"/>
      <c r="B1064" s="24"/>
      <c r="C1064" s="15"/>
      <c r="D1064" s="24"/>
      <c r="E1064" s="24"/>
      <c r="F1064" s="24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7"/>
      <c r="X1064" s="17"/>
      <c r="Y1064" s="17"/>
      <c r="Z1064" s="17"/>
    </row>
    <row r="1065" ht="15.75" customHeight="1">
      <c r="A1065" s="24"/>
      <c r="B1065" s="24"/>
      <c r="C1065" s="15"/>
      <c r="D1065" s="24"/>
      <c r="E1065" s="24"/>
      <c r="F1065" s="24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7"/>
      <c r="X1065" s="17"/>
      <c r="Y1065" s="17"/>
      <c r="Z1065" s="17"/>
    </row>
    <row r="1066" ht="15.75" customHeight="1">
      <c r="A1066" s="24"/>
      <c r="B1066" s="24"/>
      <c r="C1066" s="15"/>
      <c r="D1066" s="24"/>
      <c r="E1066" s="24"/>
      <c r="F1066" s="24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7"/>
      <c r="X1066" s="17"/>
      <c r="Y1066" s="17"/>
      <c r="Z1066" s="17"/>
    </row>
    <row r="1067" ht="15.75" customHeight="1">
      <c r="A1067" s="24"/>
      <c r="B1067" s="24"/>
      <c r="C1067" s="15"/>
      <c r="D1067" s="24"/>
      <c r="E1067" s="24"/>
      <c r="F1067" s="24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7"/>
      <c r="X1067" s="17"/>
      <c r="Y1067" s="17"/>
      <c r="Z1067" s="17"/>
    </row>
    <row r="1068" ht="15.75" customHeight="1">
      <c r="A1068" s="24"/>
      <c r="B1068" s="24"/>
      <c r="C1068" s="15"/>
      <c r="D1068" s="24"/>
      <c r="E1068" s="24"/>
      <c r="F1068" s="24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7"/>
      <c r="X1068" s="17"/>
      <c r="Y1068" s="17"/>
      <c r="Z1068" s="17"/>
    </row>
    <row r="1069" ht="15.75" customHeight="1">
      <c r="A1069" s="24"/>
      <c r="B1069" s="24"/>
      <c r="C1069" s="15"/>
      <c r="D1069" s="24"/>
      <c r="E1069" s="24"/>
      <c r="F1069" s="24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7"/>
      <c r="X1069" s="17"/>
      <c r="Y1069" s="17"/>
      <c r="Z1069" s="17"/>
    </row>
    <row r="1070" ht="15.75" customHeight="1">
      <c r="A1070" s="24"/>
      <c r="B1070" s="24"/>
      <c r="C1070" s="15"/>
      <c r="D1070" s="24"/>
      <c r="E1070" s="24"/>
      <c r="F1070" s="24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7"/>
      <c r="X1070" s="17"/>
      <c r="Y1070" s="17"/>
      <c r="Z1070" s="17"/>
    </row>
    <row r="1071" ht="15.75" customHeight="1">
      <c r="A1071" s="24"/>
      <c r="B1071" s="24"/>
      <c r="C1071" s="15"/>
      <c r="D1071" s="24"/>
      <c r="E1071" s="24"/>
      <c r="F1071" s="24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7"/>
      <c r="X1071" s="17"/>
      <c r="Y1071" s="17"/>
      <c r="Z1071" s="17"/>
    </row>
    <row r="1072" ht="15.75" customHeight="1">
      <c r="A1072" s="24"/>
      <c r="B1072" s="24"/>
      <c r="C1072" s="15"/>
      <c r="D1072" s="24"/>
      <c r="E1072" s="24"/>
      <c r="F1072" s="24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7"/>
      <c r="X1072" s="17"/>
      <c r="Y1072" s="17"/>
      <c r="Z1072" s="17"/>
    </row>
    <row r="1073" ht="15.75" customHeight="1">
      <c r="A1073" s="24"/>
      <c r="B1073" s="24"/>
      <c r="C1073" s="15"/>
      <c r="D1073" s="24"/>
      <c r="E1073" s="24"/>
      <c r="F1073" s="24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7"/>
      <c r="X1073" s="17"/>
      <c r="Y1073" s="17"/>
      <c r="Z1073" s="17"/>
    </row>
    <row r="1074" ht="15.75" customHeight="1">
      <c r="A1074" s="24"/>
      <c r="B1074" s="24"/>
      <c r="C1074" s="15"/>
      <c r="D1074" s="24"/>
      <c r="E1074" s="24"/>
      <c r="F1074" s="24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7"/>
      <c r="X1074" s="17"/>
      <c r="Y1074" s="17"/>
      <c r="Z1074" s="17"/>
    </row>
    <row r="1075" ht="15.75" customHeight="1">
      <c r="A1075" s="24"/>
      <c r="B1075" s="24"/>
      <c r="C1075" s="15"/>
      <c r="D1075" s="24"/>
      <c r="E1075" s="24"/>
      <c r="F1075" s="24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7"/>
      <c r="X1075" s="17"/>
      <c r="Y1075" s="17"/>
      <c r="Z1075" s="17"/>
    </row>
    <row r="1076" ht="15.75" customHeight="1">
      <c r="A1076" s="24"/>
      <c r="B1076" s="24"/>
      <c r="C1076" s="15"/>
      <c r="D1076" s="24"/>
      <c r="E1076" s="24"/>
      <c r="F1076" s="24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7"/>
      <c r="X1076" s="17"/>
      <c r="Y1076" s="17"/>
      <c r="Z1076" s="17"/>
    </row>
    <row r="1077" ht="15.75" customHeight="1">
      <c r="A1077" s="24"/>
      <c r="B1077" s="24"/>
      <c r="C1077" s="15"/>
      <c r="D1077" s="24"/>
      <c r="E1077" s="24"/>
      <c r="F1077" s="24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7"/>
      <c r="X1077" s="17"/>
      <c r="Y1077" s="17"/>
      <c r="Z1077" s="17"/>
    </row>
    <row r="1078" ht="15.75" customHeight="1">
      <c r="A1078" s="24"/>
      <c r="B1078" s="24"/>
      <c r="C1078" s="15"/>
      <c r="D1078" s="24"/>
      <c r="E1078" s="24"/>
      <c r="F1078" s="24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7"/>
      <c r="X1078" s="17"/>
      <c r="Y1078" s="17"/>
      <c r="Z1078" s="17"/>
    </row>
    <row r="1079" ht="15.75" customHeight="1">
      <c r="A1079" s="24"/>
      <c r="B1079" s="24"/>
      <c r="C1079" s="15"/>
      <c r="D1079" s="24"/>
      <c r="E1079" s="24"/>
      <c r="F1079" s="24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7"/>
      <c r="X1079" s="17"/>
      <c r="Y1079" s="17"/>
      <c r="Z1079" s="17"/>
    </row>
    <row r="1080" ht="15.75" customHeight="1">
      <c r="A1080" s="24"/>
      <c r="B1080" s="24"/>
      <c r="C1080" s="15"/>
      <c r="D1080" s="24"/>
      <c r="E1080" s="24"/>
      <c r="F1080" s="24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7"/>
      <c r="X1080" s="17"/>
      <c r="Y1080" s="17"/>
      <c r="Z1080" s="17"/>
    </row>
    <row r="1081" ht="15.75" customHeight="1">
      <c r="A1081" s="24"/>
      <c r="B1081" s="24"/>
      <c r="C1081" s="15"/>
      <c r="D1081" s="24"/>
      <c r="E1081" s="24"/>
      <c r="F1081" s="24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7"/>
      <c r="X1081" s="17"/>
      <c r="Y1081" s="17"/>
      <c r="Z1081" s="17"/>
    </row>
    <row r="1082" ht="15.75" customHeight="1">
      <c r="A1082" s="24"/>
      <c r="B1082" s="24"/>
      <c r="C1082" s="15"/>
      <c r="D1082" s="24"/>
      <c r="E1082" s="24"/>
      <c r="F1082" s="24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7"/>
      <c r="X1082" s="17"/>
      <c r="Y1082" s="17"/>
      <c r="Z1082" s="17"/>
    </row>
    <row r="1083" ht="15.75" customHeight="1">
      <c r="A1083" s="24"/>
      <c r="B1083" s="24"/>
      <c r="C1083" s="15"/>
      <c r="D1083" s="24"/>
      <c r="E1083" s="24"/>
      <c r="F1083" s="24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7"/>
      <c r="X1083" s="17"/>
      <c r="Y1083" s="17"/>
      <c r="Z1083" s="17"/>
    </row>
    <row r="1084" ht="15.75" customHeight="1">
      <c r="A1084" s="24"/>
      <c r="B1084" s="24"/>
      <c r="C1084" s="15"/>
      <c r="D1084" s="24"/>
      <c r="E1084" s="24"/>
      <c r="F1084" s="24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7"/>
      <c r="X1084" s="17"/>
      <c r="Y1084" s="17"/>
      <c r="Z1084" s="17"/>
    </row>
    <row r="1085" ht="15.75" customHeight="1">
      <c r="A1085" s="24"/>
      <c r="B1085" s="24"/>
      <c r="C1085" s="15"/>
      <c r="D1085" s="24"/>
      <c r="E1085" s="24"/>
      <c r="F1085" s="24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7"/>
      <c r="X1085" s="17"/>
      <c r="Y1085" s="17"/>
      <c r="Z1085" s="17"/>
    </row>
    <row r="1086" ht="15.75" customHeight="1">
      <c r="A1086" s="24"/>
      <c r="B1086" s="24"/>
      <c r="C1086" s="15"/>
      <c r="D1086" s="24"/>
      <c r="E1086" s="24"/>
      <c r="F1086" s="24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7"/>
      <c r="X1086" s="17"/>
      <c r="Y1086" s="17"/>
      <c r="Z1086" s="17"/>
    </row>
    <row r="1087" ht="15.75" customHeight="1">
      <c r="A1087" s="24"/>
      <c r="B1087" s="24"/>
      <c r="C1087" s="15"/>
      <c r="D1087" s="24"/>
      <c r="E1087" s="24"/>
      <c r="F1087" s="24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7"/>
      <c r="X1087" s="17"/>
      <c r="Y1087" s="17"/>
      <c r="Z1087" s="17"/>
    </row>
    <row r="1088" ht="15.75" customHeight="1">
      <c r="A1088" s="24"/>
      <c r="B1088" s="24"/>
      <c r="C1088" s="15"/>
      <c r="D1088" s="24"/>
      <c r="E1088" s="24"/>
      <c r="F1088" s="24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7"/>
      <c r="X1088" s="17"/>
      <c r="Y1088" s="17"/>
      <c r="Z1088" s="17"/>
    </row>
    <row r="1089" ht="15.75" customHeight="1">
      <c r="A1089" s="24"/>
      <c r="B1089" s="24"/>
      <c r="C1089" s="15"/>
      <c r="D1089" s="24"/>
      <c r="E1089" s="24"/>
      <c r="F1089" s="24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7"/>
      <c r="X1089" s="17"/>
      <c r="Y1089" s="17"/>
      <c r="Z1089" s="17"/>
    </row>
    <row r="1090" ht="15.75" customHeight="1">
      <c r="A1090" s="24"/>
      <c r="B1090" s="24"/>
      <c r="C1090" s="15"/>
      <c r="D1090" s="24"/>
      <c r="E1090" s="24"/>
      <c r="F1090" s="24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7"/>
      <c r="X1090" s="17"/>
      <c r="Y1090" s="17"/>
      <c r="Z1090" s="17"/>
    </row>
    <row r="1091" ht="15.75" customHeight="1">
      <c r="A1091" s="24"/>
      <c r="B1091" s="24"/>
      <c r="C1091" s="15"/>
      <c r="D1091" s="24"/>
      <c r="E1091" s="24"/>
      <c r="F1091" s="24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7"/>
      <c r="X1091" s="17"/>
      <c r="Y1091" s="17"/>
      <c r="Z1091" s="17"/>
    </row>
    <row r="1092" ht="15.75" customHeight="1">
      <c r="A1092" s="24"/>
      <c r="B1092" s="24"/>
      <c r="C1092" s="15"/>
      <c r="D1092" s="24"/>
      <c r="E1092" s="24"/>
      <c r="F1092" s="24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7"/>
      <c r="X1092" s="17"/>
      <c r="Y1092" s="17"/>
      <c r="Z1092" s="17"/>
    </row>
    <row r="1093" ht="15.75" customHeight="1">
      <c r="A1093" s="24"/>
      <c r="B1093" s="24"/>
      <c r="C1093" s="15"/>
      <c r="D1093" s="24"/>
      <c r="E1093" s="24"/>
      <c r="F1093" s="24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7"/>
      <c r="X1093" s="17"/>
      <c r="Y1093" s="17"/>
      <c r="Z1093" s="17"/>
    </row>
    <row r="1094" ht="15.75" customHeight="1">
      <c r="A1094" s="24"/>
      <c r="B1094" s="24"/>
      <c r="C1094" s="15"/>
      <c r="D1094" s="24"/>
      <c r="E1094" s="24"/>
      <c r="F1094" s="24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7"/>
      <c r="X1094" s="17"/>
      <c r="Y1094" s="17"/>
      <c r="Z1094" s="17"/>
    </row>
    <row r="1095" ht="15.75" customHeight="1">
      <c r="A1095" s="24"/>
      <c r="B1095" s="24"/>
      <c r="C1095" s="15"/>
      <c r="D1095" s="24"/>
      <c r="E1095" s="24"/>
      <c r="F1095" s="24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7"/>
      <c r="X1095" s="17"/>
      <c r="Y1095" s="17"/>
      <c r="Z1095" s="17"/>
    </row>
    <row r="1096" ht="15.75" customHeight="1">
      <c r="A1096" s="24"/>
      <c r="B1096" s="24"/>
      <c r="C1096" s="15"/>
      <c r="D1096" s="24"/>
      <c r="E1096" s="24"/>
      <c r="F1096" s="24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7"/>
      <c r="X1096" s="17"/>
      <c r="Y1096" s="17"/>
      <c r="Z1096" s="17"/>
    </row>
    <row r="1097" ht="15.75" customHeight="1">
      <c r="A1097" s="24"/>
      <c r="B1097" s="24"/>
      <c r="C1097" s="15"/>
      <c r="D1097" s="24"/>
      <c r="E1097" s="24"/>
      <c r="F1097" s="24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7"/>
      <c r="X1097" s="17"/>
      <c r="Y1097" s="17"/>
      <c r="Z1097" s="17"/>
    </row>
    <row r="1098" ht="15.75" customHeight="1">
      <c r="A1098" s="24"/>
      <c r="B1098" s="24"/>
      <c r="C1098" s="15"/>
      <c r="D1098" s="24"/>
      <c r="E1098" s="24"/>
      <c r="F1098" s="24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7"/>
      <c r="X1098" s="17"/>
      <c r="Y1098" s="17"/>
      <c r="Z1098" s="17"/>
    </row>
    <row r="1099" ht="15.75" customHeight="1">
      <c r="A1099" s="24"/>
      <c r="B1099" s="24"/>
      <c r="C1099" s="15"/>
      <c r="D1099" s="24"/>
      <c r="E1099" s="24"/>
      <c r="F1099" s="24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7"/>
      <c r="X1099" s="17"/>
      <c r="Y1099" s="17"/>
      <c r="Z1099" s="17"/>
    </row>
    <row r="1100" ht="15.75" customHeight="1">
      <c r="A1100" s="24"/>
      <c r="B1100" s="24"/>
      <c r="C1100" s="15"/>
      <c r="D1100" s="24"/>
      <c r="E1100" s="24"/>
      <c r="F1100" s="24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7"/>
      <c r="X1100" s="17"/>
      <c r="Y1100" s="17"/>
      <c r="Z1100" s="17"/>
    </row>
    <row r="1101" ht="15.75" customHeight="1">
      <c r="A1101" s="24"/>
      <c r="B1101" s="24"/>
      <c r="C1101" s="15"/>
      <c r="D1101" s="24"/>
      <c r="E1101" s="24"/>
      <c r="F1101" s="24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7"/>
      <c r="X1101" s="17"/>
      <c r="Y1101" s="17"/>
      <c r="Z1101" s="17"/>
    </row>
    <row r="1102" ht="15.75" customHeight="1">
      <c r="A1102" s="24"/>
      <c r="B1102" s="24"/>
      <c r="C1102" s="15"/>
      <c r="D1102" s="24"/>
      <c r="E1102" s="24"/>
      <c r="F1102" s="24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7"/>
      <c r="X1102" s="17"/>
      <c r="Y1102" s="17"/>
      <c r="Z1102" s="17"/>
    </row>
    <row r="1103" ht="15.75" customHeight="1">
      <c r="A1103" s="24"/>
      <c r="B1103" s="24"/>
      <c r="C1103" s="15"/>
      <c r="D1103" s="24"/>
      <c r="E1103" s="24"/>
      <c r="F1103" s="24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7"/>
      <c r="X1103" s="17"/>
      <c r="Y1103" s="17"/>
      <c r="Z1103" s="17"/>
    </row>
    <row r="1104" ht="15.75" customHeight="1">
      <c r="A1104" s="24"/>
      <c r="B1104" s="24"/>
      <c r="C1104" s="15"/>
      <c r="D1104" s="24"/>
      <c r="E1104" s="24"/>
      <c r="F1104" s="24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7"/>
      <c r="X1104" s="17"/>
      <c r="Y1104" s="17"/>
      <c r="Z1104" s="17"/>
    </row>
    <row r="1105" ht="15.75" customHeight="1">
      <c r="A1105" s="24"/>
      <c r="B1105" s="24"/>
      <c r="C1105" s="15"/>
      <c r="D1105" s="24"/>
      <c r="E1105" s="24"/>
      <c r="F1105" s="24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7"/>
      <c r="X1105" s="17"/>
      <c r="Y1105" s="17"/>
      <c r="Z1105" s="17"/>
    </row>
    <row r="1106" ht="15.75" customHeight="1">
      <c r="A1106" s="24"/>
      <c r="B1106" s="24"/>
      <c r="C1106" s="15"/>
      <c r="D1106" s="24"/>
      <c r="E1106" s="24"/>
      <c r="F1106" s="24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7"/>
      <c r="X1106" s="17"/>
      <c r="Y1106" s="17"/>
      <c r="Z1106" s="17"/>
    </row>
    <row r="1107" ht="15.75" customHeight="1">
      <c r="A1107" s="24"/>
      <c r="B1107" s="24"/>
      <c r="C1107" s="15"/>
      <c r="D1107" s="24"/>
      <c r="E1107" s="24"/>
      <c r="F1107" s="24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7"/>
      <c r="X1107" s="17"/>
      <c r="Y1107" s="17"/>
      <c r="Z1107" s="17"/>
    </row>
    <row r="1108" ht="15.75" customHeight="1">
      <c r="A1108" s="24"/>
      <c r="B1108" s="24"/>
      <c r="C1108" s="15"/>
      <c r="D1108" s="24"/>
      <c r="E1108" s="24"/>
      <c r="F1108" s="24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7"/>
      <c r="X1108" s="17"/>
      <c r="Y1108" s="17"/>
      <c r="Z1108" s="17"/>
    </row>
    <row r="1109" ht="15.75" customHeight="1">
      <c r="A1109" s="24"/>
      <c r="B1109" s="24"/>
      <c r="C1109" s="15"/>
      <c r="D1109" s="24"/>
      <c r="E1109" s="24"/>
      <c r="F1109" s="24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7"/>
      <c r="X1109" s="17"/>
      <c r="Y1109" s="17"/>
      <c r="Z1109" s="17"/>
    </row>
    <row r="1110" ht="15.75" customHeight="1">
      <c r="A1110" s="24"/>
      <c r="B1110" s="24"/>
      <c r="C1110" s="15"/>
      <c r="D1110" s="24"/>
      <c r="E1110" s="24"/>
      <c r="F1110" s="24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7"/>
      <c r="X1110" s="17"/>
      <c r="Y1110" s="17"/>
      <c r="Z1110" s="17"/>
    </row>
    <row r="1111" ht="15.75" customHeight="1">
      <c r="A1111" s="24"/>
      <c r="B1111" s="24"/>
      <c r="C1111" s="15"/>
      <c r="D1111" s="24"/>
      <c r="E1111" s="24"/>
      <c r="F1111" s="24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7"/>
      <c r="X1111" s="17"/>
      <c r="Y1111" s="17"/>
      <c r="Z1111" s="17"/>
    </row>
    <row r="1112" ht="15.75" customHeight="1">
      <c r="A1112" s="24"/>
      <c r="B1112" s="24"/>
      <c r="C1112" s="15"/>
      <c r="D1112" s="24"/>
      <c r="E1112" s="24"/>
      <c r="F1112" s="24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7"/>
      <c r="X1112" s="17"/>
      <c r="Y1112" s="17"/>
      <c r="Z1112" s="17"/>
    </row>
    <row r="1113" ht="15.75" customHeight="1">
      <c r="A1113" s="24"/>
      <c r="B1113" s="24"/>
      <c r="C1113" s="15"/>
      <c r="D1113" s="24"/>
      <c r="E1113" s="24"/>
      <c r="F1113" s="24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7"/>
      <c r="X1113" s="17"/>
      <c r="Y1113" s="17"/>
      <c r="Z1113" s="17"/>
    </row>
    <row r="1114" ht="15.75" customHeight="1">
      <c r="A1114" s="24"/>
      <c r="B1114" s="24"/>
      <c r="C1114" s="15"/>
      <c r="D1114" s="24"/>
      <c r="E1114" s="24"/>
      <c r="F1114" s="24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7"/>
      <c r="X1114" s="17"/>
      <c r="Y1114" s="17"/>
      <c r="Z1114" s="17"/>
    </row>
    <row r="1115" ht="15.75" customHeight="1">
      <c r="A1115" s="24"/>
      <c r="B1115" s="24"/>
      <c r="C1115" s="15"/>
      <c r="D1115" s="24"/>
      <c r="E1115" s="24"/>
      <c r="F1115" s="24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7"/>
      <c r="X1115" s="17"/>
      <c r="Y1115" s="17"/>
      <c r="Z1115" s="17"/>
    </row>
    <row r="1116" ht="15.75" customHeight="1">
      <c r="A1116" s="24"/>
      <c r="B1116" s="24"/>
      <c r="C1116" s="15"/>
      <c r="D1116" s="24"/>
      <c r="E1116" s="24"/>
      <c r="F1116" s="24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7"/>
      <c r="X1116" s="17"/>
      <c r="Y1116" s="17"/>
      <c r="Z1116" s="17"/>
    </row>
    <row r="1117" ht="15.75" customHeight="1">
      <c r="A1117" s="24"/>
      <c r="B1117" s="24"/>
      <c r="C1117" s="15"/>
      <c r="D1117" s="24"/>
      <c r="E1117" s="24"/>
      <c r="F1117" s="24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7"/>
      <c r="X1117" s="17"/>
      <c r="Y1117" s="17"/>
      <c r="Z1117" s="17"/>
    </row>
    <row r="1118" ht="15.75" customHeight="1">
      <c r="A1118" s="24"/>
      <c r="B1118" s="24"/>
      <c r="C1118" s="15"/>
      <c r="D1118" s="24"/>
      <c r="E1118" s="24"/>
      <c r="F1118" s="24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7"/>
      <c r="X1118" s="17"/>
      <c r="Y1118" s="17"/>
      <c r="Z1118" s="17"/>
    </row>
    <row r="1119" ht="15.75" customHeight="1">
      <c r="A1119" s="24"/>
      <c r="B1119" s="24"/>
      <c r="C1119" s="15"/>
      <c r="D1119" s="24"/>
      <c r="E1119" s="24"/>
      <c r="F1119" s="24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7"/>
      <c r="X1119" s="17"/>
      <c r="Y1119" s="17"/>
      <c r="Z1119" s="17"/>
    </row>
    <row r="1120" ht="15.75" customHeight="1">
      <c r="A1120" s="24"/>
      <c r="B1120" s="24"/>
      <c r="C1120" s="15"/>
      <c r="D1120" s="24"/>
      <c r="E1120" s="24"/>
      <c r="F1120" s="24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7"/>
      <c r="X1120" s="17"/>
      <c r="Y1120" s="17"/>
      <c r="Z1120" s="17"/>
    </row>
    <row r="1121" ht="15.75" customHeight="1">
      <c r="A1121" s="24"/>
      <c r="B1121" s="24"/>
      <c r="C1121" s="15"/>
      <c r="D1121" s="24"/>
      <c r="E1121" s="24"/>
      <c r="F1121" s="24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7"/>
      <c r="X1121" s="17"/>
      <c r="Y1121" s="17"/>
      <c r="Z1121" s="17"/>
    </row>
    <row r="1122" ht="15.75" customHeight="1">
      <c r="A1122" s="24"/>
      <c r="B1122" s="24"/>
      <c r="C1122" s="15"/>
      <c r="D1122" s="24"/>
      <c r="E1122" s="24"/>
      <c r="F1122" s="24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7"/>
      <c r="X1122" s="17"/>
      <c r="Y1122" s="17"/>
      <c r="Z1122" s="17"/>
    </row>
    <row r="1123" ht="15.75" customHeight="1">
      <c r="A1123" s="24"/>
      <c r="B1123" s="24"/>
      <c r="C1123" s="15"/>
      <c r="D1123" s="24"/>
      <c r="E1123" s="24"/>
      <c r="F1123" s="24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7"/>
      <c r="X1123" s="17"/>
      <c r="Y1123" s="17"/>
      <c r="Z1123" s="17"/>
    </row>
    <row r="1124" ht="15.75" customHeight="1">
      <c r="A1124" s="24"/>
      <c r="B1124" s="24"/>
      <c r="C1124" s="15"/>
      <c r="D1124" s="24"/>
      <c r="E1124" s="24"/>
      <c r="F1124" s="24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7"/>
      <c r="X1124" s="17"/>
      <c r="Y1124" s="17"/>
      <c r="Z1124" s="17"/>
    </row>
    <row r="1125" ht="15.75" customHeight="1">
      <c r="A1125" s="24"/>
      <c r="B1125" s="24"/>
      <c r="C1125" s="15"/>
      <c r="D1125" s="24"/>
      <c r="E1125" s="24"/>
      <c r="F1125" s="24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7"/>
      <c r="X1125" s="17"/>
      <c r="Y1125" s="17"/>
      <c r="Z1125" s="17"/>
    </row>
    <row r="1126" ht="15.75" customHeight="1">
      <c r="A1126" s="24"/>
      <c r="B1126" s="24"/>
      <c r="C1126" s="15"/>
      <c r="D1126" s="24"/>
      <c r="E1126" s="24"/>
      <c r="F1126" s="24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7"/>
      <c r="X1126" s="17"/>
      <c r="Y1126" s="17"/>
      <c r="Z1126" s="17"/>
    </row>
    <row r="1127" ht="15.75" customHeight="1">
      <c r="A1127" s="24"/>
      <c r="B1127" s="24"/>
      <c r="C1127" s="15"/>
      <c r="D1127" s="24"/>
      <c r="E1127" s="24"/>
      <c r="F1127" s="24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7"/>
      <c r="X1127" s="17"/>
      <c r="Y1127" s="17"/>
      <c r="Z1127" s="17"/>
    </row>
    <row r="1128" ht="15.75" customHeight="1">
      <c r="A1128" s="24"/>
      <c r="B1128" s="24"/>
      <c r="C1128" s="15"/>
      <c r="D1128" s="24"/>
      <c r="E1128" s="24"/>
      <c r="F1128" s="24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7"/>
      <c r="X1128" s="17"/>
      <c r="Y1128" s="17"/>
      <c r="Z1128" s="17"/>
    </row>
    <row r="1129" ht="15.75" customHeight="1">
      <c r="A1129" s="24"/>
      <c r="B1129" s="24"/>
      <c r="C1129" s="15"/>
      <c r="D1129" s="24"/>
      <c r="E1129" s="24"/>
      <c r="F1129" s="24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7"/>
      <c r="X1129" s="17"/>
      <c r="Y1129" s="17"/>
      <c r="Z1129" s="17"/>
    </row>
    <row r="1130" ht="15.75" customHeight="1">
      <c r="A1130" s="24"/>
      <c r="B1130" s="24"/>
      <c r="C1130" s="15"/>
      <c r="D1130" s="24"/>
      <c r="E1130" s="24"/>
      <c r="F1130" s="24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7"/>
      <c r="X1130" s="17"/>
      <c r="Y1130" s="17"/>
      <c r="Z1130" s="17"/>
    </row>
    <row r="1131" ht="15.75" customHeight="1">
      <c r="A1131" s="24"/>
      <c r="B1131" s="24"/>
      <c r="C1131" s="15"/>
      <c r="D1131" s="24"/>
      <c r="E1131" s="24"/>
      <c r="F1131" s="24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7"/>
      <c r="X1131" s="17"/>
      <c r="Y1131" s="17"/>
      <c r="Z1131" s="17"/>
    </row>
    <row r="1132" ht="15.75" customHeight="1">
      <c r="A1132" s="24"/>
      <c r="B1132" s="24"/>
      <c r="C1132" s="15"/>
      <c r="D1132" s="24"/>
      <c r="E1132" s="24"/>
      <c r="F1132" s="24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7"/>
      <c r="X1132" s="17"/>
      <c r="Y1132" s="17"/>
      <c r="Z1132" s="17"/>
    </row>
    <row r="1133" ht="15.75" customHeight="1">
      <c r="A1133" s="24"/>
      <c r="B1133" s="24"/>
      <c r="C1133" s="15"/>
      <c r="D1133" s="24"/>
      <c r="E1133" s="24"/>
      <c r="F1133" s="24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7"/>
      <c r="X1133" s="17"/>
      <c r="Y1133" s="17"/>
      <c r="Z1133" s="17"/>
    </row>
    <row r="1134" ht="15.75" customHeight="1">
      <c r="A1134" s="24"/>
      <c r="B1134" s="24"/>
      <c r="C1134" s="15"/>
      <c r="D1134" s="24"/>
      <c r="E1134" s="24"/>
      <c r="F1134" s="24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7"/>
      <c r="X1134" s="17"/>
      <c r="Y1134" s="17"/>
      <c r="Z1134" s="17"/>
    </row>
    <row r="1135" ht="15.75" customHeight="1">
      <c r="A1135" s="24"/>
      <c r="B1135" s="24"/>
      <c r="C1135" s="15"/>
      <c r="D1135" s="24"/>
      <c r="E1135" s="24"/>
      <c r="F1135" s="24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7"/>
      <c r="X1135" s="17"/>
      <c r="Y1135" s="17"/>
      <c r="Z1135" s="17"/>
    </row>
    <row r="1136" ht="15.75" customHeight="1">
      <c r="A1136" s="24"/>
      <c r="B1136" s="24"/>
      <c r="C1136" s="15"/>
      <c r="D1136" s="24"/>
      <c r="E1136" s="24"/>
      <c r="F1136" s="24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7"/>
      <c r="X1136" s="17"/>
      <c r="Y1136" s="17"/>
      <c r="Z1136" s="17"/>
    </row>
    <row r="1137" ht="15.75" customHeight="1">
      <c r="A1137" s="24"/>
      <c r="B1137" s="24"/>
      <c r="C1137" s="15"/>
      <c r="D1137" s="24"/>
      <c r="E1137" s="24"/>
      <c r="F1137" s="24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7"/>
      <c r="X1137" s="17"/>
      <c r="Y1137" s="17"/>
      <c r="Z1137" s="17"/>
    </row>
    <row r="1138" ht="15.75" customHeight="1">
      <c r="A1138" s="24"/>
      <c r="B1138" s="24"/>
      <c r="C1138" s="15"/>
      <c r="D1138" s="24"/>
      <c r="E1138" s="24"/>
      <c r="F1138" s="24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7"/>
      <c r="X1138" s="17"/>
      <c r="Y1138" s="17"/>
      <c r="Z1138" s="17"/>
    </row>
    <row r="1139" ht="15.75" customHeight="1">
      <c r="A1139" s="24"/>
      <c r="B1139" s="24"/>
      <c r="C1139" s="15"/>
      <c r="D1139" s="24"/>
      <c r="E1139" s="24"/>
      <c r="F1139" s="24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7"/>
      <c r="X1139" s="17"/>
      <c r="Y1139" s="17"/>
      <c r="Z1139" s="17"/>
    </row>
    <row r="1140" ht="15.75" customHeight="1">
      <c r="A1140" s="24"/>
      <c r="B1140" s="24"/>
      <c r="C1140" s="15"/>
      <c r="D1140" s="24"/>
      <c r="E1140" s="24"/>
      <c r="F1140" s="24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7"/>
      <c r="X1140" s="17"/>
      <c r="Y1140" s="17"/>
      <c r="Z1140" s="17"/>
    </row>
    <row r="1141" ht="15.75" customHeight="1">
      <c r="A1141" s="24"/>
      <c r="B1141" s="24"/>
      <c r="C1141" s="15"/>
      <c r="D1141" s="24"/>
      <c r="E1141" s="24"/>
      <c r="F1141" s="24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7"/>
      <c r="X1141" s="17"/>
      <c r="Y1141" s="17"/>
      <c r="Z1141" s="17"/>
    </row>
    <row r="1142" ht="15.75" customHeight="1">
      <c r="A1142" s="24"/>
      <c r="B1142" s="24"/>
      <c r="C1142" s="15"/>
      <c r="D1142" s="24"/>
      <c r="E1142" s="24"/>
      <c r="F1142" s="24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7"/>
      <c r="X1142" s="17"/>
      <c r="Y1142" s="17"/>
      <c r="Z1142" s="17"/>
    </row>
    <row r="1143" ht="15.75" customHeight="1">
      <c r="A1143" s="24"/>
      <c r="B1143" s="24"/>
      <c r="C1143" s="15"/>
      <c r="D1143" s="24"/>
      <c r="E1143" s="24"/>
      <c r="F1143" s="24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7"/>
      <c r="X1143" s="17"/>
      <c r="Y1143" s="17"/>
      <c r="Z1143" s="17"/>
    </row>
    <row r="1144" ht="15.75" customHeight="1">
      <c r="A1144" s="24"/>
      <c r="B1144" s="24"/>
      <c r="C1144" s="15"/>
      <c r="D1144" s="24"/>
      <c r="E1144" s="24"/>
      <c r="F1144" s="24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7"/>
      <c r="X1144" s="17"/>
      <c r="Y1144" s="17"/>
      <c r="Z1144" s="17"/>
    </row>
    <row r="1145" ht="15.75" customHeight="1">
      <c r="A1145" s="24"/>
      <c r="B1145" s="24"/>
      <c r="C1145" s="15"/>
      <c r="D1145" s="24"/>
      <c r="E1145" s="24"/>
      <c r="F1145" s="24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7"/>
      <c r="X1145" s="17"/>
      <c r="Y1145" s="17"/>
      <c r="Z1145" s="17"/>
    </row>
    <row r="1146" ht="15.75" customHeight="1">
      <c r="A1146" s="24"/>
      <c r="B1146" s="24"/>
      <c r="C1146" s="15"/>
      <c r="D1146" s="24"/>
      <c r="E1146" s="24"/>
      <c r="F1146" s="24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7"/>
      <c r="X1146" s="17"/>
      <c r="Y1146" s="17"/>
      <c r="Z1146" s="17"/>
    </row>
    <row r="1147" ht="15.75" customHeight="1">
      <c r="A1147" s="24"/>
      <c r="B1147" s="24"/>
      <c r="C1147" s="15"/>
      <c r="D1147" s="24"/>
      <c r="E1147" s="24"/>
      <c r="F1147" s="24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7"/>
      <c r="X1147" s="17"/>
      <c r="Y1147" s="17"/>
      <c r="Z1147" s="17"/>
    </row>
    <row r="1148" ht="15.75" customHeight="1">
      <c r="A1148" s="24"/>
      <c r="B1148" s="24"/>
      <c r="C1148" s="15"/>
      <c r="D1148" s="24"/>
      <c r="E1148" s="24"/>
      <c r="F1148" s="24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7"/>
      <c r="X1148" s="17"/>
      <c r="Y1148" s="17"/>
      <c r="Z1148" s="17"/>
    </row>
    <row r="1149" ht="15.75" customHeight="1">
      <c r="A1149" s="24"/>
      <c r="B1149" s="24"/>
      <c r="C1149" s="15"/>
      <c r="D1149" s="24"/>
      <c r="E1149" s="24"/>
      <c r="F1149" s="24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7"/>
      <c r="X1149" s="17"/>
      <c r="Y1149" s="17"/>
      <c r="Z1149" s="17"/>
    </row>
    <row r="1150" ht="15.75" customHeight="1">
      <c r="A1150" s="24"/>
      <c r="B1150" s="24"/>
      <c r="C1150" s="15"/>
      <c r="D1150" s="24"/>
      <c r="E1150" s="24"/>
      <c r="F1150" s="24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7"/>
      <c r="X1150" s="17"/>
      <c r="Y1150" s="17"/>
      <c r="Z1150" s="17"/>
    </row>
    <row r="1151" ht="15.75" customHeight="1">
      <c r="A1151" s="24"/>
      <c r="B1151" s="24"/>
      <c r="C1151" s="15"/>
      <c r="D1151" s="24"/>
      <c r="E1151" s="24"/>
      <c r="F1151" s="24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7"/>
      <c r="X1151" s="17"/>
      <c r="Y1151" s="17"/>
      <c r="Z1151" s="17"/>
    </row>
    <row r="1152" ht="15.75" customHeight="1">
      <c r="A1152" s="24"/>
      <c r="B1152" s="24"/>
      <c r="C1152" s="15"/>
      <c r="D1152" s="24"/>
      <c r="E1152" s="24"/>
      <c r="F1152" s="24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7"/>
      <c r="X1152" s="17"/>
      <c r="Y1152" s="17"/>
      <c r="Z1152" s="17"/>
    </row>
    <row r="1153" ht="15.75" customHeight="1">
      <c r="A1153" s="24"/>
      <c r="B1153" s="24"/>
      <c r="C1153" s="15"/>
      <c r="D1153" s="24"/>
      <c r="E1153" s="24"/>
      <c r="F1153" s="24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7"/>
      <c r="X1153" s="17"/>
      <c r="Y1153" s="17"/>
      <c r="Z1153" s="17"/>
    </row>
    <row r="1154" ht="15.75" customHeight="1">
      <c r="A1154" s="24"/>
      <c r="B1154" s="24"/>
      <c r="C1154" s="15"/>
      <c r="D1154" s="24"/>
      <c r="E1154" s="24"/>
      <c r="F1154" s="24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7"/>
      <c r="X1154" s="17"/>
      <c r="Y1154" s="17"/>
      <c r="Z1154" s="17"/>
    </row>
    <row r="1155" ht="15.75" customHeight="1">
      <c r="A1155" s="24"/>
      <c r="B1155" s="24"/>
      <c r="C1155" s="15"/>
      <c r="D1155" s="24"/>
      <c r="E1155" s="24"/>
      <c r="F1155" s="24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7"/>
      <c r="X1155" s="17"/>
      <c r="Y1155" s="17"/>
      <c r="Z1155" s="17"/>
    </row>
    <row r="1156" ht="15.75" customHeight="1">
      <c r="A1156" s="24"/>
      <c r="B1156" s="24"/>
      <c r="C1156" s="15"/>
      <c r="D1156" s="24"/>
      <c r="E1156" s="24"/>
      <c r="F1156" s="24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7"/>
      <c r="X1156" s="17"/>
      <c r="Y1156" s="17"/>
      <c r="Z1156" s="17"/>
    </row>
    <row r="1157" ht="15.75" customHeight="1">
      <c r="A1157" s="24"/>
      <c r="B1157" s="24"/>
      <c r="C1157" s="15"/>
      <c r="D1157" s="24"/>
      <c r="E1157" s="24"/>
      <c r="F1157" s="24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7"/>
      <c r="X1157" s="17"/>
      <c r="Y1157" s="17"/>
      <c r="Z1157" s="17"/>
    </row>
    <row r="1158" ht="15.75" customHeight="1">
      <c r="A1158" s="24"/>
      <c r="B1158" s="24"/>
      <c r="C1158" s="15"/>
      <c r="D1158" s="24"/>
      <c r="E1158" s="24"/>
      <c r="F1158" s="24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7"/>
      <c r="X1158" s="17"/>
      <c r="Y1158" s="17"/>
      <c r="Z1158" s="17"/>
    </row>
    <row r="1159" ht="15.75" customHeight="1">
      <c r="A1159" s="24"/>
      <c r="B1159" s="24"/>
      <c r="C1159" s="15"/>
      <c r="D1159" s="24"/>
      <c r="E1159" s="24"/>
      <c r="F1159" s="24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7"/>
      <c r="X1159" s="17"/>
      <c r="Y1159" s="17"/>
      <c r="Z1159" s="17"/>
    </row>
    <row r="1160" ht="15.75" customHeight="1">
      <c r="A1160" s="24"/>
      <c r="B1160" s="24"/>
      <c r="C1160" s="15"/>
      <c r="D1160" s="24"/>
      <c r="E1160" s="24"/>
      <c r="F1160" s="24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7"/>
      <c r="X1160" s="17"/>
      <c r="Y1160" s="17"/>
      <c r="Z1160" s="17"/>
    </row>
    <row r="1161" ht="15.75" customHeight="1">
      <c r="A1161" s="24"/>
      <c r="B1161" s="24"/>
      <c r="C1161" s="15"/>
      <c r="D1161" s="24"/>
      <c r="E1161" s="24"/>
      <c r="F1161" s="24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7"/>
      <c r="X1161" s="17"/>
      <c r="Y1161" s="17"/>
      <c r="Z1161" s="17"/>
    </row>
    <row r="1162" ht="15.75" customHeight="1">
      <c r="A1162" s="24"/>
      <c r="B1162" s="24"/>
      <c r="C1162" s="15"/>
      <c r="D1162" s="24"/>
      <c r="E1162" s="24"/>
      <c r="F1162" s="24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7"/>
      <c r="X1162" s="17"/>
      <c r="Y1162" s="17"/>
      <c r="Z1162" s="17"/>
    </row>
    <row r="1163" ht="15.75" customHeight="1">
      <c r="A1163" s="24"/>
      <c r="B1163" s="24"/>
      <c r="C1163" s="15"/>
      <c r="D1163" s="24"/>
      <c r="E1163" s="24"/>
      <c r="F1163" s="24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7"/>
      <c r="X1163" s="17"/>
      <c r="Y1163" s="17"/>
      <c r="Z1163" s="17"/>
    </row>
    <row r="1164" ht="15.75" customHeight="1">
      <c r="A1164" s="24"/>
      <c r="B1164" s="24"/>
      <c r="C1164" s="15"/>
      <c r="D1164" s="24"/>
      <c r="E1164" s="24"/>
      <c r="F1164" s="24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7"/>
      <c r="X1164" s="17"/>
      <c r="Y1164" s="17"/>
      <c r="Z1164" s="17"/>
    </row>
    <row r="1165" ht="15.75" customHeight="1">
      <c r="A1165" s="24"/>
      <c r="B1165" s="24"/>
      <c r="C1165" s="15"/>
      <c r="D1165" s="24"/>
      <c r="E1165" s="24"/>
      <c r="F1165" s="24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7"/>
      <c r="X1165" s="17"/>
      <c r="Y1165" s="17"/>
      <c r="Z1165" s="17"/>
    </row>
    <row r="1166" ht="15.75" customHeight="1">
      <c r="A1166" s="24"/>
      <c r="B1166" s="24"/>
      <c r="C1166" s="15"/>
      <c r="D1166" s="24"/>
      <c r="E1166" s="24"/>
      <c r="F1166" s="24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7"/>
      <c r="X1166" s="17"/>
      <c r="Y1166" s="17"/>
      <c r="Z1166" s="17"/>
    </row>
    <row r="1167" ht="15.75" customHeight="1">
      <c r="A1167" s="24"/>
      <c r="B1167" s="24"/>
      <c r="C1167" s="15"/>
      <c r="D1167" s="24"/>
      <c r="E1167" s="24"/>
      <c r="F1167" s="24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7"/>
      <c r="X1167" s="17"/>
      <c r="Y1167" s="17"/>
      <c r="Z1167" s="17"/>
    </row>
    <row r="1168" ht="15.75" customHeight="1">
      <c r="A1168" s="24"/>
      <c r="B1168" s="24"/>
      <c r="C1168" s="15"/>
      <c r="D1168" s="24"/>
      <c r="E1168" s="24"/>
      <c r="F1168" s="24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7"/>
      <c r="X1168" s="17"/>
      <c r="Y1168" s="17"/>
      <c r="Z1168" s="17"/>
    </row>
    <row r="1169" ht="15.75" customHeight="1">
      <c r="A1169" s="24"/>
      <c r="B1169" s="24"/>
      <c r="C1169" s="15"/>
      <c r="D1169" s="24"/>
      <c r="E1169" s="24"/>
      <c r="F1169" s="24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7"/>
      <c r="X1169" s="17"/>
      <c r="Y1169" s="17"/>
      <c r="Z1169" s="17"/>
    </row>
    <row r="1170" ht="15.75" customHeight="1">
      <c r="A1170" s="24"/>
      <c r="B1170" s="24"/>
      <c r="C1170" s="15"/>
      <c r="D1170" s="24"/>
      <c r="E1170" s="24"/>
      <c r="F1170" s="24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7"/>
      <c r="X1170" s="17"/>
      <c r="Y1170" s="17"/>
      <c r="Z1170" s="17"/>
    </row>
    <row r="1171" ht="15.75" customHeight="1">
      <c r="A1171" s="24"/>
      <c r="B1171" s="24"/>
      <c r="C1171" s="15"/>
      <c r="D1171" s="24"/>
      <c r="E1171" s="24"/>
      <c r="F1171" s="24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7"/>
      <c r="X1171" s="17"/>
      <c r="Y1171" s="17"/>
      <c r="Z1171" s="17"/>
    </row>
    <row r="1172" ht="15.75" customHeight="1">
      <c r="A1172" s="24"/>
      <c r="B1172" s="24"/>
      <c r="C1172" s="15"/>
      <c r="D1172" s="24"/>
      <c r="E1172" s="24"/>
      <c r="F1172" s="24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7"/>
      <c r="X1172" s="17"/>
      <c r="Y1172" s="17"/>
      <c r="Z1172" s="17"/>
    </row>
    <row r="1173" ht="15.75" customHeight="1">
      <c r="A1173" s="24"/>
      <c r="B1173" s="24"/>
      <c r="C1173" s="15"/>
      <c r="D1173" s="24"/>
      <c r="E1173" s="24"/>
      <c r="F1173" s="24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7"/>
      <c r="X1173" s="17"/>
      <c r="Y1173" s="17"/>
      <c r="Z1173" s="17"/>
    </row>
    <row r="1174" ht="15.75" customHeight="1">
      <c r="A1174" s="24"/>
      <c r="B1174" s="24"/>
      <c r="C1174" s="15"/>
      <c r="D1174" s="24"/>
      <c r="E1174" s="24"/>
      <c r="F1174" s="24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7"/>
      <c r="X1174" s="17"/>
      <c r="Y1174" s="17"/>
      <c r="Z1174" s="17"/>
    </row>
    <row r="1175" ht="15.75" customHeight="1">
      <c r="A1175" s="24"/>
      <c r="B1175" s="24"/>
      <c r="C1175" s="15"/>
      <c r="D1175" s="24"/>
      <c r="E1175" s="24"/>
      <c r="F1175" s="24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7"/>
      <c r="X1175" s="17"/>
      <c r="Y1175" s="17"/>
      <c r="Z1175" s="17"/>
    </row>
    <row r="1176" ht="15.75" customHeight="1">
      <c r="A1176" s="24"/>
      <c r="B1176" s="24"/>
      <c r="C1176" s="15"/>
      <c r="D1176" s="24"/>
      <c r="E1176" s="24"/>
      <c r="F1176" s="24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7"/>
      <c r="X1176" s="17"/>
      <c r="Y1176" s="17"/>
      <c r="Z1176" s="17"/>
    </row>
    <row r="1177" ht="15.75" customHeight="1">
      <c r="A1177" s="24"/>
      <c r="B1177" s="24"/>
      <c r="C1177" s="15"/>
      <c r="D1177" s="24"/>
      <c r="E1177" s="24"/>
      <c r="F1177" s="24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7"/>
      <c r="X1177" s="17"/>
      <c r="Y1177" s="17"/>
      <c r="Z1177" s="17"/>
    </row>
    <row r="1178" ht="15.75" customHeight="1">
      <c r="A1178" s="24"/>
      <c r="B1178" s="24"/>
      <c r="C1178" s="15"/>
      <c r="D1178" s="24"/>
      <c r="E1178" s="24"/>
      <c r="F1178" s="24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7"/>
      <c r="X1178" s="17"/>
      <c r="Y1178" s="17"/>
      <c r="Z1178" s="17"/>
    </row>
    <row r="1179" ht="15.75" customHeight="1">
      <c r="A1179" s="24"/>
      <c r="B1179" s="24"/>
      <c r="C1179" s="15"/>
      <c r="D1179" s="24"/>
      <c r="E1179" s="24"/>
      <c r="F1179" s="24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7"/>
      <c r="X1179" s="17"/>
      <c r="Y1179" s="17"/>
      <c r="Z1179" s="17"/>
    </row>
    <row r="1180" ht="15.75" customHeight="1">
      <c r="A1180" s="24"/>
      <c r="B1180" s="24"/>
      <c r="C1180" s="15"/>
      <c r="D1180" s="24"/>
      <c r="E1180" s="24"/>
      <c r="F1180" s="24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7"/>
      <c r="X1180" s="17"/>
      <c r="Y1180" s="17"/>
      <c r="Z1180" s="17"/>
    </row>
    <row r="1181" ht="15.75" customHeight="1">
      <c r="A1181" s="24"/>
      <c r="B1181" s="24"/>
      <c r="C1181" s="15"/>
      <c r="D1181" s="24"/>
      <c r="E1181" s="24"/>
      <c r="F1181" s="24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7"/>
      <c r="X1181" s="17"/>
      <c r="Y1181" s="17"/>
      <c r="Z1181" s="17"/>
    </row>
    <row r="1182" ht="15.75" customHeight="1">
      <c r="A1182" s="24"/>
      <c r="B1182" s="24"/>
      <c r="C1182" s="15"/>
      <c r="D1182" s="24"/>
      <c r="E1182" s="24"/>
      <c r="F1182" s="24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7"/>
      <c r="X1182" s="17"/>
      <c r="Y1182" s="17"/>
      <c r="Z1182" s="17"/>
    </row>
    <row r="1183" ht="15.75" customHeight="1">
      <c r="A1183" s="24"/>
      <c r="B1183" s="24"/>
      <c r="C1183" s="15"/>
      <c r="D1183" s="24"/>
      <c r="E1183" s="24"/>
      <c r="F1183" s="24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7"/>
      <c r="X1183" s="17"/>
      <c r="Y1183" s="17"/>
      <c r="Z1183" s="17"/>
    </row>
    <row r="1184" ht="15.75" customHeight="1">
      <c r="A1184" s="24"/>
      <c r="B1184" s="24"/>
      <c r="C1184" s="15"/>
      <c r="D1184" s="24"/>
      <c r="E1184" s="24"/>
      <c r="F1184" s="24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7"/>
      <c r="X1184" s="17"/>
      <c r="Y1184" s="17"/>
      <c r="Z1184" s="17"/>
    </row>
    <row r="1185" ht="15.75" customHeight="1">
      <c r="A1185" s="24"/>
      <c r="B1185" s="24"/>
      <c r="C1185" s="15"/>
      <c r="D1185" s="24"/>
      <c r="E1185" s="24"/>
      <c r="F1185" s="24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7"/>
      <c r="X1185" s="17"/>
      <c r="Y1185" s="17"/>
      <c r="Z1185" s="17"/>
    </row>
    <row r="1186" ht="15.75" customHeight="1">
      <c r="A1186" s="24"/>
      <c r="B1186" s="24"/>
      <c r="C1186" s="15"/>
      <c r="D1186" s="24"/>
      <c r="E1186" s="24"/>
      <c r="F1186" s="24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7"/>
      <c r="X1186" s="17"/>
      <c r="Y1186" s="17"/>
      <c r="Z1186" s="17"/>
    </row>
    <row r="1187" ht="15.75" customHeight="1">
      <c r="A1187" s="24"/>
      <c r="B1187" s="24"/>
      <c r="C1187" s="15"/>
      <c r="D1187" s="24"/>
      <c r="E1187" s="24"/>
      <c r="F1187" s="24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7"/>
      <c r="X1187" s="17"/>
      <c r="Y1187" s="17"/>
      <c r="Z1187" s="17"/>
    </row>
    <row r="1188" ht="15.75" customHeight="1">
      <c r="A1188" s="24"/>
      <c r="B1188" s="24"/>
      <c r="C1188" s="15"/>
      <c r="D1188" s="24"/>
      <c r="E1188" s="24"/>
      <c r="F1188" s="24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7"/>
      <c r="X1188" s="17"/>
      <c r="Y1188" s="17"/>
      <c r="Z1188" s="17"/>
    </row>
    <row r="1189" ht="15.75" customHeight="1">
      <c r="A1189" s="24"/>
      <c r="B1189" s="24"/>
      <c r="C1189" s="15"/>
      <c r="D1189" s="24"/>
      <c r="E1189" s="24"/>
      <c r="F1189" s="24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7"/>
      <c r="X1189" s="17"/>
      <c r="Y1189" s="17"/>
      <c r="Z1189" s="17"/>
    </row>
    <row r="1190" ht="15.75" customHeight="1">
      <c r="A1190" s="24"/>
      <c r="B1190" s="24"/>
      <c r="C1190" s="15"/>
      <c r="D1190" s="24"/>
      <c r="E1190" s="24"/>
      <c r="F1190" s="24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7"/>
      <c r="X1190" s="17"/>
      <c r="Y1190" s="17"/>
      <c r="Z1190" s="17"/>
    </row>
    <row r="1191" ht="15.75" customHeight="1">
      <c r="A1191" s="24"/>
      <c r="B1191" s="24"/>
      <c r="C1191" s="15"/>
      <c r="D1191" s="24"/>
      <c r="E1191" s="24"/>
      <c r="F1191" s="24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7"/>
      <c r="X1191" s="17"/>
      <c r="Y1191" s="17"/>
      <c r="Z1191" s="17"/>
    </row>
    <row r="1192" ht="15.75" customHeight="1">
      <c r="A1192" s="24"/>
      <c r="B1192" s="24"/>
      <c r="C1192" s="15"/>
      <c r="D1192" s="24"/>
      <c r="E1192" s="24"/>
      <c r="F1192" s="24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7"/>
      <c r="X1192" s="17"/>
      <c r="Y1192" s="17"/>
      <c r="Z1192" s="17"/>
    </row>
    <row r="1193" ht="15.75" customHeight="1">
      <c r="A1193" s="24"/>
      <c r="B1193" s="24"/>
      <c r="C1193" s="15"/>
      <c r="D1193" s="24"/>
      <c r="E1193" s="24"/>
      <c r="F1193" s="24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7"/>
      <c r="X1193" s="17"/>
      <c r="Y1193" s="17"/>
      <c r="Z1193" s="17"/>
    </row>
    <row r="1194" ht="15.75" customHeight="1">
      <c r="A1194" s="24"/>
      <c r="B1194" s="24"/>
      <c r="C1194" s="15"/>
      <c r="D1194" s="24"/>
      <c r="E1194" s="24"/>
      <c r="F1194" s="24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7"/>
      <c r="X1194" s="17"/>
      <c r="Y1194" s="17"/>
      <c r="Z1194" s="17"/>
    </row>
    <row r="1195" ht="15.75" customHeight="1">
      <c r="A1195" s="24"/>
      <c r="B1195" s="24"/>
      <c r="C1195" s="15"/>
      <c r="D1195" s="24"/>
      <c r="E1195" s="24"/>
      <c r="F1195" s="24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7"/>
      <c r="X1195" s="17"/>
      <c r="Y1195" s="17"/>
      <c r="Z1195" s="17"/>
    </row>
    <row r="1196" ht="15.75" customHeight="1">
      <c r="A1196" s="24"/>
      <c r="B1196" s="24"/>
      <c r="C1196" s="15"/>
      <c r="D1196" s="24"/>
      <c r="E1196" s="24"/>
      <c r="F1196" s="24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7"/>
      <c r="X1196" s="17"/>
      <c r="Y1196" s="17"/>
      <c r="Z1196" s="17"/>
    </row>
    <row r="1197" ht="15.75" customHeight="1">
      <c r="A1197" s="24"/>
      <c r="B1197" s="24"/>
      <c r="C1197" s="15"/>
      <c r="D1197" s="24"/>
      <c r="E1197" s="24"/>
      <c r="F1197" s="24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7"/>
      <c r="X1197" s="17"/>
      <c r="Y1197" s="17"/>
      <c r="Z1197" s="17"/>
    </row>
    <row r="1198" ht="15.75" customHeight="1">
      <c r="A1198" s="24"/>
      <c r="B1198" s="24"/>
      <c r="C1198" s="15"/>
      <c r="D1198" s="24"/>
      <c r="E1198" s="24"/>
      <c r="F1198" s="24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7"/>
      <c r="X1198" s="17"/>
      <c r="Y1198" s="17"/>
      <c r="Z1198" s="17"/>
    </row>
    <row r="1199" ht="15.75" customHeight="1">
      <c r="A1199" s="24"/>
      <c r="B1199" s="24"/>
      <c r="C1199" s="15"/>
      <c r="D1199" s="24"/>
      <c r="E1199" s="24"/>
      <c r="F1199" s="24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7"/>
      <c r="X1199" s="17"/>
      <c r="Y1199" s="17"/>
      <c r="Z1199" s="17"/>
    </row>
    <row r="1200" ht="15.75" customHeight="1">
      <c r="A1200" s="24"/>
      <c r="B1200" s="24"/>
      <c r="C1200" s="15"/>
      <c r="D1200" s="24"/>
      <c r="E1200" s="24"/>
      <c r="F1200" s="24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7"/>
      <c r="X1200" s="17"/>
      <c r="Y1200" s="17"/>
      <c r="Z1200" s="17"/>
    </row>
    <row r="1201" ht="15.75" customHeight="1">
      <c r="A1201" s="24"/>
      <c r="B1201" s="24"/>
      <c r="C1201" s="15"/>
      <c r="D1201" s="24"/>
      <c r="E1201" s="24"/>
      <c r="F1201" s="24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7"/>
      <c r="X1201" s="17"/>
      <c r="Y1201" s="17"/>
      <c r="Z1201" s="17"/>
    </row>
    <row r="1202" ht="15.75" customHeight="1">
      <c r="A1202" s="24"/>
      <c r="B1202" s="24"/>
      <c r="C1202" s="15"/>
      <c r="D1202" s="24"/>
      <c r="E1202" s="24"/>
      <c r="F1202" s="24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7"/>
      <c r="X1202" s="17"/>
      <c r="Y1202" s="17"/>
      <c r="Z1202" s="17"/>
    </row>
    <row r="1203" ht="15.75" customHeight="1">
      <c r="A1203" s="24"/>
      <c r="B1203" s="24"/>
      <c r="C1203" s="15"/>
      <c r="D1203" s="24"/>
      <c r="E1203" s="24"/>
      <c r="F1203" s="24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7"/>
      <c r="X1203" s="17"/>
      <c r="Y1203" s="17"/>
      <c r="Z1203" s="17"/>
    </row>
    <row r="1204" ht="15.75" customHeight="1">
      <c r="A1204" s="24"/>
      <c r="B1204" s="24"/>
      <c r="C1204" s="15"/>
      <c r="D1204" s="24"/>
      <c r="E1204" s="24"/>
      <c r="F1204" s="24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7"/>
      <c r="X1204" s="17"/>
      <c r="Y1204" s="17"/>
      <c r="Z1204" s="17"/>
    </row>
    <row r="1205" ht="15.75" customHeight="1">
      <c r="A1205" s="24"/>
      <c r="B1205" s="24"/>
      <c r="C1205" s="15"/>
      <c r="D1205" s="24"/>
      <c r="E1205" s="24"/>
      <c r="F1205" s="24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7"/>
      <c r="X1205" s="17"/>
      <c r="Y1205" s="17"/>
      <c r="Z1205" s="17"/>
    </row>
    <row r="1206" ht="15.75" customHeight="1">
      <c r="A1206" s="24"/>
      <c r="B1206" s="24"/>
      <c r="C1206" s="15"/>
      <c r="D1206" s="24"/>
      <c r="E1206" s="24"/>
      <c r="F1206" s="24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7"/>
      <c r="X1206" s="17"/>
      <c r="Y1206" s="17"/>
      <c r="Z1206" s="17"/>
    </row>
    <row r="1207" ht="15.75" customHeight="1">
      <c r="A1207" s="24"/>
      <c r="B1207" s="24"/>
      <c r="C1207" s="15"/>
      <c r="D1207" s="24"/>
      <c r="E1207" s="24"/>
      <c r="F1207" s="24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7"/>
      <c r="X1207" s="17"/>
      <c r="Y1207" s="17"/>
      <c r="Z1207" s="17"/>
    </row>
    <row r="1208" ht="15.75" customHeight="1">
      <c r="A1208" s="24"/>
      <c r="B1208" s="24"/>
      <c r="C1208" s="15"/>
      <c r="D1208" s="24"/>
      <c r="E1208" s="24"/>
      <c r="F1208" s="24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7"/>
      <c r="X1208" s="17"/>
      <c r="Y1208" s="17"/>
      <c r="Z1208" s="17"/>
    </row>
    <row r="1209" ht="15.75" customHeight="1">
      <c r="A1209" s="24"/>
      <c r="B1209" s="24"/>
      <c r="C1209" s="15"/>
      <c r="D1209" s="24"/>
      <c r="E1209" s="24"/>
      <c r="F1209" s="24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7"/>
      <c r="X1209" s="17"/>
      <c r="Y1209" s="17"/>
      <c r="Z1209" s="17"/>
    </row>
    <row r="1210" ht="15.75" customHeight="1">
      <c r="A1210" s="24"/>
      <c r="B1210" s="24"/>
      <c r="C1210" s="15"/>
      <c r="D1210" s="24"/>
      <c r="E1210" s="24"/>
      <c r="F1210" s="24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7"/>
      <c r="X1210" s="17"/>
      <c r="Y1210" s="17"/>
      <c r="Z1210" s="17"/>
    </row>
    <row r="1211" ht="15.75" customHeight="1">
      <c r="A1211" s="24"/>
      <c r="B1211" s="24"/>
      <c r="C1211" s="15"/>
      <c r="D1211" s="24"/>
      <c r="E1211" s="24"/>
      <c r="F1211" s="24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7"/>
      <c r="X1211" s="17"/>
      <c r="Y1211" s="17"/>
      <c r="Z1211" s="17"/>
    </row>
    <row r="1212" ht="15.75" customHeight="1">
      <c r="A1212" s="24"/>
      <c r="B1212" s="24"/>
      <c r="C1212" s="15"/>
      <c r="D1212" s="24"/>
      <c r="E1212" s="24"/>
      <c r="F1212" s="24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7"/>
      <c r="X1212" s="17"/>
      <c r="Y1212" s="17"/>
      <c r="Z1212" s="17"/>
    </row>
    <row r="1213" ht="15.75" customHeight="1">
      <c r="A1213" s="24"/>
      <c r="B1213" s="24"/>
      <c r="C1213" s="15"/>
      <c r="D1213" s="24"/>
      <c r="E1213" s="24"/>
      <c r="F1213" s="24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7"/>
      <c r="X1213" s="17"/>
      <c r="Y1213" s="17"/>
      <c r="Z1213" s="17"/>
    </row>
    <row r="1214" ht="15.75" customHeight="1">
      <c r="A1214" s="24"/>
      <c r="B1214" s="24"/>
      <c r="C1214" s="15"/>
      <c r="D1214" s="24"/>
      <c r="E1214" s="24"/>
      <c r="F1214" s="24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7"/>
      <c r="X1214" s="17"/>
      <c r="Y1214" s="17"/>
      <c r="Z1214" s="17"/>
    </row>
    <row r="1215" ht="15.75" customHeight="1">
      <c r="A1215" s="24"/>
      <c r="B1215" s="24"/>
      <c r="C1215" s="15"/>
      <c r="D1215" s="24"/>
      <c r="E1215" s="24"/>
      <c r="F1215" s="24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7"/>
      <c r="X1215" s="17"/>
      <c r="Y1215" s="17"/>
      <c r="Z1215" s="17"/>
    </row>
    <row r="1216" ht="15.75" customHeight="1">
      <c r="A1216" s="24"/>
      <c r="B1216" s="24"/>
      <c r="C1216" s="15"/>
      <c r="D1216" s="24"/>
      <c r="E1216" s="24"/>
      <c r="F1216" s="24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7"/>
      <c r="X1216" s="17"/>
      <c r="Y1216" s="17"/>
      <c r="Z1216" s="17"/>
    </row>
    <row r="1217" ht="15.75" customHeight="1">
      <c r="A1217" s="24"/>
      <c r="B1217" s="24"/>
      <c r="C1217" s="15"/>
      <c r="D1217" s="24"/>
      <c r="E1217" s="24"/>
      <c r="F1217" s="24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7"/>
      <c r="X1217" s="17"/>
      <c r="Y1217" s="17"/>
      <c r="Z1217" s="17"/>
    </row>
    <row r="1218" ht="15.75" customHeight="1">
      <c r="A1218" s="24"/>
      <c r="B1218" s="24"/>
      <c r="C1218" s="15"/>
      <c r="D1218" s="24"/>
      <c r="E1218" s="24"/>
      <c r="F1218" s="24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7"/>
      <c r="X1218" s="17"/>
      <c r="Y1218" s="17"/>
      <c r="Z1218" s="17"/>
    </row>
    <row r="1219" ht="15.75" customHeight="1">
      <c r="A1219" s="24"/>
      <c r="B1219" s="24"/>
      <c r="C1219" s="15"/>
      <c r="D1219" s="24"/>
      <c r="E1219" s="24"/>
      <c r="F1219" s="24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7"/>
      <c r="X1219" s="17"/>
      <c r="Y1219" s="17"/>
      <c r="Z1219" s="17"/>
    </row>
    <row r="1220" ht="15.75" customHeight="1">
      <c r="A1220" s="24"/>
      <c r="B1220" s="24"/>
      <c r="C1220" s="15"/>
      <c r="D1220" s="24"/>
      <c r="E1220" s="24"/>
      <c r="F1220" s="24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7"/>
      <c r="X1220" s="17"/>
      <c r="Y1220" s="17"/>
      <c r="Z1220" s="17"/>
    </row>
    <row r="1221" ht="15.75" customHeight="1">
      <c r="A1221" s="24"/>
      <c r="B1221" s="24"/>
      <c r="C1221" s="15"/>
      <c r="D1221" s="24"/>
      <c r="E1221" s="24"/>
      <c r="F1221" s="24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7"/>
      <c r="X1221" s="17"/>
      <c r="Y1221" s="17"/>
      <c r="Z1221" s="17"/>
    </row>
    <row r="1222" ht="15.75" customHeight="1">
      <c r="A1222" s="24"/>
      <c r="B1222" s="24"/>
      <c r="C1222" s="15"/>
      <c r="D1222" s="24"/>
      <c r="E1222" s="24"/>
      <c r="F1222" s="24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7"/>
      <c r="X1222" s="17"/>
      <c r="Y1222" s="17"/>
      <c r="Z1222" s="17"/>
    </row>
    <row r="1223" ht="15.75" customHeight="1">
      <c r="A1223" s="24"/>
      <c r="B1223" s="24"/>
      <c r="C1223" s="15"/>
      <c r="D1223" s="24"/>
      <c r="E1223" s="24"/>
      <c r="F1223" s="24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7"/>
      <c r="X1223" s="17"/>
      <c r="Y1223" s="17"/>
      <c r="Z1223" s="17"/>
    </row>
    <row r="1224" ht="15.75" customHeight="1">
      <c r="A1224" s="24"/>
      <c r="B1224" s="24"/>
      <c r="C1224" s="15"/>
      <c r="D1224" s="24"/>
      <c r="E1224" s="24"/>
      <c r="F1224" s="24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7"/>
      <c r="X1224" s="17"/>
      <c r="Y1224" s="17"/>
      <c r="Z1224" s="17"/>
    </row>
    <row r="1225" ht="15.75" customHeight="1">
      <c r="A1225" s="24"/>
      <c r="B1225" s="24"/>
      <c r="C1225" s="15"/>
      <c r="D1225" s="24"/>
      <c r="E1225" s="24"/>
      <c r="F1225" s="24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7"/>
      <c r="X1225" s="17"/>
      <c r="Y1225" s="17"/>
      <c r="Z1225" s="17"/>
    </row>
    <row r="1226" ht="15.75" customHeight="1">
      <c r="A1226" s="24"/>
      <c r="B1226" s="24"/>
      <c r="C1226" s="15"/>
      <c r="D1226" s="24"/>
      <c r="E1226" s="24"/>
      <c r="F1226" s="24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7"/>
      <c r="X1226" s="17"/>
      <c r="Y1226" s="17"/>
      <c r="Z1226" s="17"/>
    </row>
    <row r="1227" ht="15.75" customHeight="1">
      <c r="A1227" s="24"/>
      <c r="B1227" s="24"/>
      <c r="C1227" s="15"/>
      <c r="D1227" s="24"/>
      <c r="E1227" s="24"/>
      <c r="F1227" s="24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7"/>
      <c r="X1227" s="17"/>
      <c r="Y1227" s="17"/>
      <c r="Z1227" s="17"/>
    </row>
    <row r="1228" ht="15.75" customHeight="1">
      <c r="A1228" s="24"/>
      <c r="B1228" s="24"/>
      <c r="C1228" s="15"/>
      <c r="D1228" s="24"/>
      <c r="E1228" s="24"/>
      <c r="F1228" s="24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7"/>
      <c r="X1228" s="17"/>
      <c r="Y1228" s="17"/>
      <c r="Z1228" s="17"/>
    </row>
    <row r="1229" ht="15.75" customHeight="1">
      <c r="A1229" s="24"/>
      <c r="B1229" s="24"/>
      <c r="C1229" s="15"/>
      <c r="D1229" s="24"/>
      <c r="E1229" s="24"/>
      <c r="F1229" s="24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7"/>
      <c r="X1229" s="17"/>
      <c r="Y1229" s="17"/>
      <c r="Z1229" s="17"/>
    </row>
    <row r="1230" ht="15.75" customHeight="1">
      <c r="A1230" s="24"/>
      <c r="B1230" s="24"/>
      <c r="C1230" s="15"/>
      <c r="D1230" s="24"/>
      <c r="E1230" s="24"/>
      <c r="F1230" s="24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7"/>
      <c r="X1230" s="17"/>
      <c r="Y1230" s="17"/>
      <c r="Z1230" s="17"/>
    </row>
    <row r="1231" ht="15.75" customHeight="1">
      <c r="A1231" s="24"/>
      <c r="B1231" s="24"/>
      <c r="C1231" s="15"/>
      <c r="D1231" s="24"/>
      <c r="E1231" s="24"/>
      <c r="F1231" s="24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7"/>
      <c r="X1231" s="17"/>
      <c r="Y1231" s="17"/>
      <c r="Z1231" s="17"/>
    </row>
    <row r="1232" ht="15.75" customHeight="1">
      <c r="A1232" s="24"/>
      <c r="B1232" s="24"/>
      <c r="C1232" s="15"/>
      <c r="D1232" s="24"/>
      <c r="E1232" s="24"/>
      <c r="F1232" s="24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7"/>
      <c r="X1232" s="17"/>
      <c r="Y1232" s="17"/>
      <c r="Z1232" s="17"/>
    </row>
    <row r="1233" ht="15.75" customHeight="1">
      <c r="A1233" s="24"/>
      <c r="B1233" s="24"/>
      <c r="C1233" s="15"/>
      <c r="D1233" s="24"/>
      <c r="E1233" s="24"/>
      <c r="F1233" s="24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7"/>
      <c r="X1233" s="17"/>
      <c r="Y1233" s="17"/>
      <c r="Z1233" s="17"/>
    </row>
    <row r="1234" ht="15.75" customHeight="1">
      <c r="A1234" s="24"/>
      <c r="B1234" s="24"/>
      <c r="C1234" s="15"/>
      <c r="D1234" s="24"/>
      <c r="E1234" s="24"/>
      <c r="F1234" s="24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7"/>
      <c r="X1234" s="17"/>
      <c r="Y1234" s="17"/>
      <c r="Z1234" s="17"/>
    </row>
    <row r="1235" ht="15.75" customHeight="1">
      <c r="A1235" s="24"/>
      <c r="B1235" s="24"/>
      <c r="C1235" s="15"/>
      <c r="D1235" s="24"/>
      <c r="E1235" s="24"/>
      <c r="F1235" s="24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7"/>
      <c r="X1235" s="17"/>
      <c r="Y1235" s="17"/>
      <c r="Z1235" s="17"/>
    </row>
    <row r="1236" ht="15.75" customHeight="1">
      <c r="A1236" s="24"/>
      <c r="B1236" s="24"/>
      <c r="C1236" s="15"/>
      <c r="D1236" s="24"/>
      <c r="E1236" s="24"/>
      <c r="F1236" s="24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7"/>
      <c r="X1236" s="17"/>
      <c r="Y1236" s="17"/>
      <c r="Z1236" s="17"/>
    </row>
    <row r="1237" ht="15.75" customHeight="1">
      <c r="A1237" s="24"/>
      <c r="B1237" s="24"/>
      <c r="C1237" s="15"/>
      <c r="D1237" s="24"/>
      <c r="E1237" s="24"/>
      <c r="F1237" s="24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7"/>
      <c r="X1237" s="17"/>
      <c r="Y1237" s="17"/>
      <c r="Z1237" s="17"/>
    </row>
    <row r="1238" ht="15.75" customHeight="1">
      <c r="A1238" s="24"/>
      <c r="B1238" s="24"/>
      <c r="C1238" s="15"/>
      <c r="D1238" s="24"/>
      <c r="E1238" s="24"/>
      <c r="F1238" s="24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7"/>
      <c r="X1238" s="17"/>
      <c r="Y1238" s="17"/>
      <c r="Z1238" s="17"/>
    </row>
    <row r="1239" ht="15.75" customHeight="1">
      <c r="A1239" s="24"/>
      <c r="B1239" s="24"/>
      <c r="C1239" s="15"/>
      <c r="D1239" s="24"/>
      <c r="E1239" s="24"/>
      <c r="F1239" s="24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7"/>
      <c r="X1239" s="17"/>
      <c r="Y1239" s="17"/>
      <c r="Z1239" s="17"/>
    </row>
    <row r="1240" ht="15.75" customHeight="1">
      <c r="A1240" s="24"/>
      <c r="B1240" s="24"/>
      <c r="C1240" s="15"/>
      <c r="D1240" s="24"/>
      <c r="E1240" s="24"/>
      <c r="F1240" s="24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7"/>
      <c r="X1240" s="17"/>
      <c r="Y1240" s="17"/>
      <c r="Z1240" s="17"/>
    </row>
    <row r="1241" ht="15.75" customHeight="1">
      <c r="A1241" s="24"/>
      <c r="B1241" s="24"/>
      <c r="C1241" s="15"/>
      <c r="D1241" s="24"/>
      <c r="E1241" s="24"/>
      <c r="F1241" s="24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7"/>
      <c r="X1241" s="17"/>
      <c r="Y1241" s="17"/>
      <c r="Z1241" s="17"/>
    </row>
    <row r="1242" ht="15.75" customHeight="1">
      <c r="A1242" s="24"/>
      <c r="B1242" s="24"/>
      <c r="C1242" s="15"/>
      <c r="D1242" s="24"/>
      <c r="E1242" s="24"/>
      <c r="F1242" s="24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7"/>
      <c r="X1242" s="17"/>
      <c r="Y1242" s="17"/>
      <c r="Z1242" s="17"/>
    </row>
    <row r="1243" ht="15.75" customHeight="1">
      <c r="A1243" s="24"/>
      <c r="B1243" s="24"/>
      <c r="C1243" s="15"/>
      <c r="D1243" s="24"/>
      <c r="E1243" s="24"/>
      <c r="F1243" s="24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7"/>
      <c r="X1243" s="17"/>
      <c r="Y1243" s="17"/>
      <c r="Z1243" s="17"/>
    </row>
    <row r="1244" ht="15.75" customHeight="1">
      <c r="A1244" s="24"/>
      <c r="B1244" s="24"/>
      <c r="C1244" s="15"/>
      <c r="D1244" s="24"/>
      <c r="E1244" s="24"/>
      <c r="F1244" s="24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7"/>
      <c r="X1244" s="17"/>
      <c r="Y1244" s="17"/>
      <c r="Z1244" s="17"/>
    </row>
    <row r="1245" ht="15.75" customHeight="1">
      <c r="A1245" s="24"/>
      <c r="B1245" s="24"/>
      <c r="C1245" s="15"/>
      <c r="D1245" s="24"/>
      <c r="E1245" s="24"/>
      <c r="F1245" s="24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7"/>
      <c r="X1245" s="17"/>
      <c r="Y1245" s="17"/>
      <c r="Z1245" s="17"/>
    </row>
    <row r="1246" ht="15.75" customHeight="1">
      <c r="A1246" s="24"/>
      <c r="B1246" s="24"/>
      <c r="C1246" s="15"/>
      <c r="D1246" s="24"/>
      <c r="E1246" s="24"/>
      <c r="F1246" s="24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7"/>
      <c r="X1246" s="17"/>
      <c r="Y1246" s="17"/>
      <c r="Z1246" s="17"/>
    </row>
    <row r="1247" ht="15.75" customHeight="1">
      <c r="A1247" s="24"/>
      <c r="B1247" s="24"/>
      <c r="C1247" s="15"/>
      <c r="D1247" s="24"/>
      <c r="E1247" s="24"/>
      <c r="F1247" s="24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7"/>
      <c r="X1247" s="17"/>
      <c r="Y1247" s="17"/>
      <c r="Z1247" s="17"/>
    </row>
    <row r="1248" ht="15.75" customHeight="1">
      <c r="A1248" s="24"/>
      <c r="B1248" s="24"/>
      <c r="C1248" s="15"/>
      <c r="D1248" s="24"/>
      <c r="E1248" s="24"/>
      <c r="F1248" s="24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7"/>
      <c r="X1248" s="17"/>
      <c r="Y1248" s="17"/>
      <c r="Z1248" s="17"/>
    </row>
    <row r="1249" ht="15.75" customHeight="1">
      <c r="A1249" s="24"/>
      <c r="B1249" s="24"/>
      <c r="C1249" s="15"/>
      <c r="D1249" s="24"/>
      <c r="E1249" s="24"/>
      <c r="F1249" s="24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7"/>
      <c r="X1249" s="17"/>
      <c r="Y1249" s="17"/>
      <c r="Z1249" s="17"/>
    </row>
    <row r="1250" ht="15.75" customHeight="1">
      <c r="A1250" s="24"/>
      <c r="B1250" s="24"/>
      <c r="C1250" s="15"/>
      <c r="D1250" s="24"/>
      <c r="E1250" s="24"/>
      <c r="F1250" s="24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7"/>
      <c r="X1250" s="17"/>
      <c r="Y1250" s="17"/>
      <c r="Z1250" s="17"/>
    </row>
    <row r="1251" ht="15.75" customHeight="1">
      <c r="A1251" s="24"/>
      <c r="B1251" s="24"/>
      <c r="C1251" s="15"/>
      <c r="D1251" s="24"/>
      <c r="E1251" s="24"/>
      <c r="F1251" s="24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7"/>
      <c r="X1251" s="17"/>
      <c r="Y1251" s="17"/>
      <c r="Z1251" s="17"/>
    </row>
    <row r="1252" ht="15.75" customHeight="1">
      <c r="A1252" s="24"/>
      <c r="B1252" s="24"/>
      <c r="C1252" s="15"/>
      <c r="D1252" s="24"/>
      <c r="E1252" s="24"/>
      <c r="F1252" s="24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7"/>
      <c r="X1252" s="17"/>
      <c r="Y1252" s="17"/>
      <c r="Z1252" s="17"/>
    </row>
    <row r="1253" ht="15.75" customHeight="1">
      <c r="A1253" s="24"/>
      <c r="B1253" s="24"/>
      <c r="C1253" s="15"/>
      <c r="D1253" s="24"/>
      <c r="E1253" s="24"/>
      <c r="F1253" s="24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7"/>
      <c r="X1253" s="17"/>
      <c r="Y1253" s="17"/>
      <c r="Z1253" s="17"/>
    </row>
    <row r="1254" ht="15.75" customHeight="1">
      <c r="A1254" s="24"/>
      <c r="B1254" s="24"/>
      <c r="C1254" s="15"/>
      <c r="D1254" s="24"/>
      <c r="E1254" s="24"/>
      <c r="F1254" s="24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7"/>
      <c r="X1254" s="17"/>
      <c r="Y1254" s="17"/>
      <c r="Z1254" s="17"/>
    </row>
    <row r="1255" ht="15.75" customHeight="1">
      <c r="A1255" s="24"/>
      <c r="B1255" s="24"/>
      <c r="C1255" s="15"/>
      <c r="D1255" s="24"/>
      <c r="E1255" s="24"/>
      <c r="F1255" s="24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7"/>
      <c r="X1255" s="17"/>
      <c r="Y1255" s="17"/>
      <c r="Z1255" s="17"/>
    </row>
    <row r="1256" ht="15.75" customHeight="1">
      <c r="A1256" s="24"/>
      <c r="B1256" s="24"/>
      <c r="C1256" s="15"/>
      <c r="D1256" s="24"/>
      <c r="E1256" s="24"/>
      <c r="F1256" s="24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7"/>
      <c r="X1256" s="17"/>
      <c r="Y1256" s="17"/>
      <c r="Z1256" s="17"/>
    </row>
    <row r="1257" ht="15.75" customHeight="1">
      <c r="A1257" s="24"/>
      <c r="B1257" s="24"/>
      <c r="C1257" s="15"/>
      <c r="D1257" s="24"/>
      <c r="E1257" s="24"/>
      <c r="F1257" s="24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7"/>
      <c r="X1257" s="17"/>
      <c r="Y1257" s="17"/>
      <c r="Z1257" s="17"/>
    </row>
    <row r="1258" ht="15.75" customHeight="1">
      <c r="A1258" s="24"/>
      <c r="B1258" s="24"/>
      <c r="C1258" s="15"/>
      <c r="D1258" s="24"/>
      <c r="E1258" s="24"/>
      <c r="F1258" s="24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7"/>
      <c r="X1258" s="17"/>
      <c r="Y1258" s="17"/>
      <c r="Z1258" s="17"/>
    </row>
    <row r="1259" ht="15.75" customHeight="1">
      <c r="A1259" s="24"/>
      <c r="B1259" s="24"/>
      <c r="C1259" s="15"/>
      <c r="D1259" s="24"/>
      <c r="E1259" s="24"/>
      <c r="F1259" s="24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7"/>
      <c r="X1259" s="17"/>
      <c r="Y1259" s="17"/>
      <c r="Z1259" s="17"/>
    </row>
    <row r="1260" ht="15.75" customHeight="1">
      <c r="A1260" s="24"/>
      <c r="B1260" s="24"/>
      <c r="C1260" s="15"/>
      <c r="D1260" s="24"/>
      <c r="E1260" s="24"/>
      <c r="F1260" s="24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7"/>
      <c r="X1260" s="17"/>
      <c r="Y1260" s="17"/>
      <c r="Z1260" s="17"/>
    </row>
    <row r="1261" ht="15.75" customHeight="1">
      <c r="A1261" s="24"/>
      <c r="B1261" s="24"/>
      <c r="C1261" s="15"/>
      <c r="D1261" s="24"/>
      <c r="E1261" s="24"/>
      <c r="F1261" s="24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7"/>
      <c r="X1261" s="17"/>
      <c r="Y1261" s="17"/>
      <c r="Z1261" s="17"/>
    </row>
    <row r="1262" ht="15.75" customHeight="1">
      <c r="A1262" s="24"/>
      <c r="B1262" s="24"/>
      <c r="C1262" s="15"/>
      <c r="D1262" s="24"/>
      <c r="E1262" s="24"/>
      <c r="F1262" s="24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7"/>
      <c r="X1262" s="17"/>
      <c r="Y1262" s="17"/>
      <c r="Z1262" s="17"/>
    </row>
    <row r="1263" ht="15.75" customHeight="1">
      <c r="A1263" s="24"/>
      <c r="B1263" s="24"/>
      <c r="C1263" s="15"/>
      <c r="D1263" s="24"/>
      <c r="E1263" s="24"/>
      <c r="F1263" s="24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7"/>
      <c r="X1263" s="17"/>
      <c r="Y1263" s="17"/>
      <c r="Z1263" s="17"/>
    </row>
    <row r="1264" ht="15.75" customHeight="1">
      <c r="A1264" s="24"/>
      <c r="B1264" s="24"/>
      <c r="C1264" s="15"/>
      <c r="D1264" s="24"/>
      <c r="E1264" s="24"/>
      <c r="F1264" s="24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7"/>
      <c r="X1264" s="17"/>
      <c r="Y1264" s="17"/>
      <c r="Z1264" s="17"/>
    </row>
    <row r="1265" ht="15.75" customHeight="1">
      <c r="A1265" s="24"/>
      <c r="B1265" s="24"/>
      <c r="C1265" s="15"/>
      <c r="D1265" s="24"/>
      <c r="E1265" s="24"/>
      <c r="F1265" s="24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7"/>
      <c r="X1265" s="17"/>
      <c r="Y1265" s="17"/>
      <c r="Z1265" s="17"/>
    </row>
    <row r="1266" ht="15.75" customHeight="1">
      <c r="A1266" s="24"/>
      <c r="B1266" s="24"/>
      <c r="C1266" s="15"/>
      <c r="D1266" s="24"/>
      <c r="E1266" s="24"/>
      <c r="F1266" s="24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7"/>
      <c r="X1266" s="17"/>
      <c r="Y1266" s="17"/>
      <c r="Z1266" s="17"/>
    </row>
    <row r="1267" ht="15.75" customHeight="1">
      <c r="A1267" s="24"/>
      <c r="B1267" s="24"/>
      <c r="C1267" s="15"/>
      <c r="D1267" s="24"/>
      <c r="E1267" s="24"/>
      <c r="F1267" s="24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7"/>
      <c r="X1267" s="17"/>
      <c r="Y1267" s="17"/>
      <c r="Z1267" s="17"/>
    </row>
    <row r="1268" ht="15.75" customHeight="1">
      <c r="A1268" s="24"/>
      <c r="B1268" s="24"/>
      <c r="C1268" s="15"/>
      <c r="D1268" s="24"/>
      <c r="E1268" s="24"/>
      <c r="F1268" s="24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7"/>
      <c r="X1268" s="17"/>
      <c r="Y1268" s="17"/>
      <c r="Z1268" s="17"/>
    </row>
    <row r="1269" ht="15.75" customHeight="1">
      <c r="A1269" s="24"/>
      <c r="B1269" s="24"/>
      <c r="C1269" s="15"/>
      <c r="D1269" s="24"/>
      <c r="E1269" s="24"/>
      <c r="F1269" s="24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7"/>
      <c r="X1269" s="17"/>
      <c r="Y1269" s="17"/>
      <c r="Z1269" s="17"/>
    </row>
    <row r="1270" ht="15.75" customHeight="1">
      <c r="A1270" s="24"/>
      <c r="B1270" s="24"/>
      <c r="C1270" s="15"/>
      <c r="D1270" s="24"/>
      <c r="E1270" s="24"/>
      <c r="F1270" s="24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7"/>
      <c r="X1270" s="17"/>
      <c r="Y1270" s="17"/>
      <c r="Z1270" s="17"/>
    </row>
    <row r="1271" ht="15.75" customHeight="1">
      <c r="A1271" s="24"/>
      <c r="B1271" s="24"/>
      <c r="C1271" s="15"/>
      <c r="D1271" s="24"/>
      <c r="E1271" s="24"/>
      <c r="F1271" s="24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7"/>
      <c r="X1271" s="17"/>
      <c r="Y1271" s="17"/>
      <c r="Z1271" s="17"/>
    </row>
    <row r="1272" ht="15.75" customHeight="1">
      <c r="A1272" s="24"/>
      <c r="B1272" s="24"/>
      <c r="C1272" s="15"/>
      <c r="D1272" s="24"/>
      <c r="E1272" s="24"/>
      <c r="F1272" s="24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7"/>
      <c r="X1272" s="17"/>
      <c r="Y1272" s="17"/>
      <c r="Z1272" s="17"/>
    </row>
    <row r="1273" ht="15.75" customHeight="1">
      <c r="A1273" s="24"/>
      <c r="B1273" s="24"/>
      <c r="C1273" s="15"/>
      <c r="D1273" s="24"/>
      <c r="E1273" s="24"/>
      <c r="F1273" s="24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7"/>
      <c r="X1273" s="17"/>
      <c r="Y1273" s="17"/>
      <c r="Z1273" s="17"/>
    </row>
    <row r="1274" ht="15.75" customHeight="1">
      <c r="A1274" s="24"/>
      <c r="B1274" s="24"/>
      <c r="C1274" s="15"/>
      <c r="D1274" s="24"/>
      <c r="E1274" s="24"/>
      <c r="F1274" s="24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7"/>
      <c r="X1274" s="17"/>
      <c r="Y1274" s="17"/>
      <c r="Z1274" s="17"/>
    </row>
    <row r="1275" ht="15.75" customHeight="1">
      <c r="A1275" s="24"/>
      <c r="B1275" s="24"/>
      <c r="C1275" s="15"/>
      <c r="D1275" s="24"/>
      <c r="E1275" s="24"/>
      <c r="F1275" s="24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7"/>
      <c r="X1275" s="17"/>
      <c r="Y1275" s="17"/>
      <c r="Z1275" s="17"/>
    </row>
    <row r="1276" ht="15.75" customHeight="1">
      <c r="A1276" s="24"/>
      <c r="B1276" s="24"/>
      <c r="C1276" s="15"/>
      <c r="D1276" s="24"/>
      <c r="E1276" s="24"/>
      <c r="F1276" s="24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7"/>
      <c r="X1276" s="17"/>
      <c r="Y1276" s="17"/>
      <c r="Z1276" s="17"/>
    </row>
    <row r="1277" ht="15.75" customHeight="1">
      <c r="A1277" s="24"/>
      <c r="B1277" s="24"/>
      <c r="C1277" s="15"/>
      <c r="D1277" s="24"/>
      <c r="E1277" s="24"/>
      <c r="F1277" s="24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7"/>
      <c r="X1277" s="17"/>
      <c r="Y1277" s="17"/>
      <c r="Z1277" s="17"/>
    </row>
    <row r="1278" ht="15.75" customHeight="1">
      <c r="A1278" s="24"/>
      <c r="B1278" s="24"/>
      <c r="C1278" s="15"/>
      <c r="D1278" s="24"/>
      <c r="E1278" s="24"/>
      <c r="F1278" s="24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7"/>
      <c r="X1278" s="17"/>
      <c r="Y1278" s="17"/>
      <c r="Z1278" s="17"/>
    </row>
    <row r="1279" ht="15.75" customHeight="1">
      <c r="A1279" s="24"/>
      <c r="B1279" s="24"/>
      <c r="C1279" s="15"/>
      <c r="D1279" s="24"/>
      <c r="E1279" s="24"/>
      <c r="F1279" s="24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7"/>
      <c r="X1279" s="17"/>
      <c r="Y1279" s="17"/>
      <c r="Z1279" s="17"/>
    </row>
    <row r="1280" ht="15.75" customHeight="1">
      <c r="A1280" s="24"/>
      <c r="B1280" s="24"/>
      <c r="C1280" s="15"/>
      <c r="D1280" s="24"/>
      <c r="E1280" s="24"/>
      <c r="F1280" s="24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7"/>
      <c r="X1280" s="17"/>
      <c r="Y1280" s="17"/>
      <c r="Z1280" s="17"/>
    </row>
    <row r="1281" ht="15.75" customHeight="1">
      <c r="A1281" s="24"/>
      <c r="B1281" s="24"/>
      <c r="C1281" s="15"/>
      <c r="D1281" s="24"/>
      <c r="E1281" s="24"/>
      <c r="F1281" s="24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7"/>
      <c r="X1281" s="17"/>
      <c r="Y1281" s="17"/>
      <c r="Z1281" s="17"/>
    </row>
    <row r="1282" ht="15.75" customHeight="1">
      <c r="A1282" s="24"/>
      <c r="B1282" s="24"/>
      <c r="C1282" s="15"/>
      <c r="D1282" s="24"/>
      <c r="E1282" s="24"/>
      <c r="F1282" s="24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7"/>
      <c r="X1282" s="17"/>
      <c r="Y1282" s="17"/>
      <c r="Z1282" s="17"/>
    </row>
    <row r="1283" ht="15.75" customHeight="1">
      <c r="A1283" s="24"/>
      <c r="B1283" s="24"/>
      <c r="C1283" s="15"/>
      <c r="D1283" s="24"/>
      <c r="E1283" s="24"/>
      <c r="F1283" s="24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7"/>
      <c r="X1283" s="17"/>
      <c r="Y1283" s="17"/>
      <c r="Z1283" s="17"/>
    </row>
    <row r="1284" ht="15.75" customHeight="1">
      <c r="A1284" s="24"/>
      <c r="B1284" s="24"/>
      <c r="C1284" s="15"/>
      <c r="D1284" s="24"/>
      <c r="E1284" s="24"/>
      <c r="F1284" s="24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7"/>
      <c r="X1284" s="17"/>
      <c r="Y1284" s="17"/>
      <c r="Z1284" s="17"/>
    </row>
    <row r="1285" ht="15.75" customHeight="1">
      <c r="A1285" s="24"/>
      <c r="B1285" s="24"/>
      <c r="C1285" s="15"/>
      <c r="D1285" s="24"/>
      <c r="E1285" s="24"/>
      <c r="F1285" s="24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7"/>
      <c r="X1285" s="17"/>
      <c r="Y1285" s="17"/>
      <c r="Z1285" s="17"/>
    </row>
    <row r="1286" ht="15.75" customHeight="1">
      <c r="A1286" s="24"/>
      <c r="B1286" s="24"/>
      <c r="C1286" s="15"/>
      <c r="D1286" s="24"/>
      <c r="E1286" s="24"/>
      <c r="F1286" s="24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7"/>
      <c r="X1286" s="17"/>
      <c r="Y1286" s="17"/>
      <c r="Z1286" s="17"/>
    </row>
    <row r="1287" ht="15.75" customHeight="1">
      <c r="A1287" s="24"/>
      <c r="B1287" s="24"/>
      <c r="C1287" s="15"/>
      <c r="D1287" s="24"/>
      <c r="E1287" s="24"/>
      <c r="F1287" s="24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7"/>
      <c r="X1287" s="17"/>
      <c r="Y1287" s="17"/>
      <c r="Z1287" s="17"/>
    </row>
    <row r="1288" ht="15.75" customHeight="1">
      <c r="A1288" s="24"/>
      <c r="B1288" s="24"/>
      <c r="C1288" s="15"/>
      <c r="D1288" s="24"/>
      <c r="E1288" s="24"/>
      <c r="F1288" s="24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7"/>
      <c r="X1288" s="17"/>
      <c r="Y1288" s="17"/>
      <c r="Z1288" s="17"/>
    </row>
    <row r="1289" ht="15.75" customHeight="1">
      <c r="A1289" s="24"/>
      <c r="B1289" s="24"/>
      <c r="C1289" s="15"/>
      <c r="D1289" s="24"/>
      <c r="E1289" s="24"/>
      <c r="F1289" s="24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7"/>
      <c r="X1289" s="17"/>
      <c r="Y1289" s="17"/>
      <c r="Z1289" s="17"/>
    </row>
    <row r="1290" ht="15.75" customHeight="1">
      <c r="A1290" s="24"/>
      <c r="B1290" s="24"/>
      <c r="C1290" s="15"/>
      <c r="D1290" s="24"/>
      <c r="E1290" s="24"/>
      <c r="F1290" s="24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7"/>
      <c r="X1290" s="17"/>
      <c r="Y1290" s="17"/>
      <c r="Z1290" s="17"/>
    </row>
    <row r="1291" ht="15.75" customHeight="1">
      <c r="A1291" s="24"/>
      <c r="B1291" s="24"/>
      <c r="C1291" s="15"/>
      <c r="D1291" s="24"/>
      <c r="E1291" s="24"/>
      <c r="F1291" s="24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7"/>
      <c r="X1291" s="17"/>
      <c r="Y1291" s="17"/>
      <c r="Z1291" s="17"/>
    </row>
    <row r="1292" ht="15.75" customHeight="1">
      <c r="A1292" s="24"/>
      <c r="B1292" s="24"/>
      <c r="C1292" s="15"/>
      <c r="D1292" s="24"/>
      <c r="E1292" s="24"/>
      <c r="F1292" s="24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7"/>
      <c r="X1292" s="17"/>
      <c r="Y1292" s="17"/>
      <c r="Z1292" s="17"/>
    </row>
    <row r="1293" ht="15.75" customHeight="1">
      <c r="A1293" s="24"/>
      <c r="B1293" s="24"/>
      <c r="C1293" s="15"/>
      <c r="D1293" s="24"/>
      <c r="E1293" s="24"/>
      <c r="F1293" s="24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7"/>
      <c r="X1293" s="17"/>
      <c r="Y1293" s="17"/>
      <c r="Z1293" s="17"/>
    </row>
    <row r="1294" ht="15.75" customHeight="1">
      <c r="A1294" s="24"/>
      <c r="B1294" s="24"/>
      <c r="C1294" s="15"/>
      <c r="D1294" s="24"/>
      <c r="E1294" s="24"/>
      <c r="F1294" s="24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7"/>
      <c r="X1294" s="17"/>
      <c r="Y1294" s="17"/>
      <c r="Z1294" s="17"/>
    </row>
    <row r="1295" ht="15.75" customHeight="1">
      <c r="A1295" s="24"/>
      <c r="B1295" s="24"/>
      <c r="C1295" s="15"/>
      <c r="D1295" s="24"/>
      <c r="E1295" s="24"/>
      <c r="F1295" s="24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7"/>
      <c r="X1295" s="17"/>
      <c r="Y1295" s="17"/>
      <c r="Z1295" s="17"/>
    </row>
    <row r="1296" ht="15.75" customHeight="1">
      <c r="A1296" s="24"/>
      <c r="B1296" s="24"/>
      <c r="C1296" s="15"/>
      <c r="D1296" s="24"/>
      <c r="E1296" s="24"/>
      <c r="F1296" s="24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7"/>
      <c r="X1296" s="17"/>
      <c r="Y1296" s="17"/>
      <c r="Z1296" s="17"/>
    </row>
    <row r="1297" ht="15.75" customHeight="1">
      <c r="A1297" s="24"/>
      <c r="B1297" s="24"/>
      <c r="C1297" s="15"/>
      <c r="D1297" s="24"/>
      <c r="E1297" s="24"/>
      <c r="F1297" s="24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7"/>
      <c r="X1297" s="17"/>
      <c r="Y1297" s="17"/>
      <c r="Z1297" s="17"/>
    </row>
    <row r="1298" ht="15.75" customHeight="1">
      <c r="A1298" s="24"/>
      <c r="B1298" s="24"/>
      <c r="C1298" s="15"/>
      <c r="D1298" s="24"/>
      <c r="E1298" s="24"/>
      <c r="F1298" s="24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7"/>
      <c r="X1298" s="17"/>
      <c r="Y1298" s="17"/>
      <c r="Z1298" s="17"/>
    </row>
    <row r="1299" ht="15.75" customHeight="1">
      <c r="A1299" s="24"/>
      <c r="B1299" s="24"/>
      <c r="C1299" s="15"/>
      <c r="D1299" s="24"/>
      <c r="E1299" s="24"/>
      <c r="F1299" s="24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7"/>
      <c r="X1299" s="17"/>
      <c r="Y1299" s="17"/>
      <c r="Z1299" s="17"/>
    </row>
    <row r="1300" ht="15.75" customHeight="1">
      <c r="A1300" s="24"/>
      <c r="B1300" s="24"/>
      <c r="C1300" s="15"/>
      <c r="D1300" s="24"/>
      <c r="E1300" s="24"/>
      <c r="F1300" s="24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7"/>
      <c r="X1300" s="17"/>
      <c r="Y1300" s="17"/>
      <c r="Z1300" s="17"/>
    </row>
    <row r="1301" ht="15.75" customHeight="1">
      <c r="A1301" s="24"/>
      <c r="B1301" s="24"/>
      <c r="C1301" s="15"/>
      <c r="D1301" s="24"/>
      <c r="E1301" s="24"/>
      <c r="F1301" s="24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7"/>
      <c r="X1301" s="17"/>
      <c r="Y1301" s="17"/>
      <c r="Z1301" s="17"/>
    </row>
    <row r="1302" ht="15.75" customHeight="1">
      <c r="A1302" s="24"/>
      <c r="B1302" s="24"/>
      <c r="C1302" s="15"/>
      <c r="D1302" s="24"/>
      <c r="E1302" s="24"/>
      <c r="F1302" s="24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7"/>
      <c r="X1302" s="17"/>
      <c r="Y1302" s="17"/>
      <c r="Z1302" s="17"/>
    </row>
    <row r="1303" ht="15.75" customHeight="1">
      <c r="A1303" s="24"/>
      <c r="B1303" s="24"/>
      <c r="C1303" s="15"/>
      <c r="D1303" s="24"/>
      <c r="E1303" s="24"/>
      <c r="F1303" s="24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7"/>
      <c r="X1303" s="17"/>
      <c r="Y1303" s="17"/>
      <c r="Z1303" s="17"/>
    </row>
    <row r="1304" ht="15.75" customHeight="1">
      <c r="A1304" s="24"/>
      <c r="B1304" s="24"/>
      <c r="C1304" s="15"/>
      <c r="D1304" s="24"/>
      <c r="E1304" s="24"/>
      <c r="F1304" s="24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7"/>
      <c r="X1304" s="17"/>
      <c r="Y1304" s="17"/>
      <c r="Z1304" s="17"/>
    </row>
    <row r="1305" ht="15.75" customHeight="1">
      <c r="A1305" s="24"/>
      <c r="B1305" s="24"/>
      <c r="C1305" s="15"/>
      <c r="D1305" s="24"/>
      <c r="E1305" s="24"/>
      <c r="F1305" s="24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7"/>
      <c r="X1305" s="17"/>
      <c r="Y1305" s="17"/>
      <c r="Z1305" s="17"/>
    </row>
    <row r="1306" ht="15.75" customHeight="1">
      <c r="A1306" s="24"/>
      <c r="B1306" s="24"/>
      <c r="C1306" s="15"/>
      <c r="D1306" s="24"/>
      <c r="E1306" s="24"/>
      <c r="F1306" s="24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7"/>
      <c r="X1306" s="17"/>
      <c r="Y1306" s="17"/>
      <c r="Z1306" s="17"/>
    </row>
    <row r="1307" ht="15.75" customHeight="1">
      <c r="A1307" s="24"/>
      <c r="B1307" s="24"/>
      <c r="C1307" s="15"/>
      <c r="D1307" s="24"/>
      <c r="E1307" s="24"/>
      <c r="F1307" s="24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7"/>
      <c r="X1307" s="17"/>
      <c r="Y1307" s="17"/>
      <c r="Z1307" s="17"/>
    </row>
    <row r="1308" ht="15.75" customHeight="1">
      <c r="A1308" s="24"/>
      <c r="B1308" s="24"/>
      <c r="C1308" s="15"/>
      <c r="D1308" s="24"/>
      <c r="E1308" s="24"/>
      <c r="F1308" s="24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7"/>
      <c r="X1308" s="17"/>
      <c r="Y1308" s="17"/>
      <c r="Z1308" s="17"/>
    </row>
    <row r="1309" ht="15.75" customHeight="1">
      <c r="A1309" s="24"/>
      <c r="B1309" s="24"/>
      <c r="C1309" s="15"/>
      <c r="D1309" s="24"/>
      <c r="E1309" s="24"/>
      <c r="F1309" s="24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7"/>
      <c r="X1309" s="17"/>
      <c r="Y1309" s="17"/>
      <c r="Z1309" s="17"/>
    </row>
    <row r="1310" ht="15.75" customHeight="1">
      <c r="A1310" s="24"/>
      <c r="B1310" s="24"/>
      <c r="C1310" s="15"/>
      <c r="D1310" s="24"/>
      <c r="E1310" s="24"/>
      <c r="F1310" s="24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7"/>
      <c r="X1310" s="17"/>
      <c r="Y1310" s="17"/>
      <c r="Z1310" s="17"/>
    </row>
    <row r="1311" ht="15.75" customHeight="1">
      <c r="A1311" s="24"/>
      <c r="B1311" s="24"/>
      <c r="C1311" s="15"/>
      <c r="D1311" s="24"/>
      <c r="E1311" s="24"/>
      <c r="F1311" s="24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7"/>
      <c r="X1311" s="17"/>
      <c r="Y1311" s="17"/>
      <c r="Z1311" s="17"/>
    </row>
    <row r="1312" ht="15.75" customHeight="1">
      <c r="A1312" s="24"/>
      <c r="B1312" s="24"/>
      <c r="C1312" s="15"/>
      <c r="D1312" s="24"/>
      <c r="E1312" s="24"/>
      <c r="F1312" s="24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7"/>
      <c r="X1312" s="17"/>
      <c r="Y1312" s="17"/>
      <c r="Z1312" s="17"/>
    </row>
    <row r="1313" ht="15.75" customHeight="1">
      <c r="A1313" s="24"/>
      <c r="B1313" s="24"/>
      <c r="C1313" s="15"/>
      <c r="D1313" s="24"/>
      <c r="E1313" s="24"/>
      <c r="F1313" s="24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7"/>
      <c r="X1313" s="17"/>
      <c r="Y1313" s="17"/>
      <c r="Z1313" s="17"/>
    </row>
    <row r="1314" ht="15.75" customHeight="1">
      <c r="A1314" s="24"/>
      <c r="B1314" s="24"/>
      <c r="C1314" s="15"/>
      <c r="D1314" s="24"/>
      <c r="E1314" s="24"/>
      <c r="F1314" s="24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7"/>
      <c r="X1314" s="17"/>
      <c r="Y1314" s="17"/>
      <c r="Z1314" s="17"/>
    </row>
    <row r="1315" ht="15.75" customHeight="1">
      <c r="A1315" s="24"/>
      <c r="B1315" s="24"/>
      <c r="C1315" s="15"/>
      <c r="D1315" s="24"/>
      <c r="E1315" s="24"/>
      <c r="F1315" s="24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7"/>
      <c r="X1315" s="17"/>
      <c r="Y1315" s="17"/>
      <c r="Z1315" s="17"/>
    </row>
    <row r="1316" ht="15.75" customHeight="1">
      <c r="A1316" s="24"/>
      <c r="B1316" s="24"/>
      <c r="C1316" s="15"/>
      <c r="D1316" s="24"/>
      <c r="E1316" s="24"/>
      <c r="F1316" s="24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7"/>
      <c r="X1316" s="17"/>
      <c r="Y1316" s="17"/>
      <c r="Z1316" s="17"/>
    </row>
    <row r="1317" ht="15.75" customHeight="1">
      <c r="A1317" s="24"/>
      <c r="B1317" s="24"/>
      <c r="C1317" s="15"/>
      <c r="D1317" s="24"/>
      <c r="E1317" s="24"/>
      <c r="F1317" s="24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7"/>
      <c r="X1317" s="17"/>
      <c r="Y1317" s="17"/>
      <c r="Z1317" s="17"/>
    </row>
    <row r="1318" ht="15.75" customHeight="1">
      <c r="A1318" s="24"/>
      <c r="B1318" s="24"/>
      <c r="C1318" s="15"/>
      <c r="D1318" s="24"/>
      <c r="E1318" s="24"/>
      <c r="F1318" s="24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7"/>
      <c r="X1318" s="17"/>
      <c r="Y1318" s="17"/>
      <c r="Z1318" s="17"/>
    </row>
    <row r="1319" ht="15.75" customHeight="1">
      <c r="A1319" s="24"/>
      <c r="B1319" s="24"/>
      <c r="C1319" s="15"/>
      <c r="D1319" s="24"/>
      <c r="E1319" s="24"/>
      <c r="F1319" s="24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7"/>
      <c r="X1319" s="17"/>
      <c r="Y1319" s="17"/>
      <c r="Z1319" s="17"/>
    </row>
    <row r="1320" ht="15.75" customHeight="1">
      <c r="A1320" s="24"/>
      <c r="B1320" s="24"/>
      <c r="C1320" s="15"/>
      <c r="D1320" s="24"/>
      <c r="E1320" s="24"/>
      <c r="F1320" s="24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7"/>
      <c r="X1320" s="17"/>
      <c r="Y1320" s="17"/>
      <c r="Z1320" s="17"/>
    </row>
    <row r="1321" ht="15.75" customHeight="1">
      <c r="A1321" s="24"/>
      <c r="B1321" s="24"/>
      <c r="C1321" s="15"/>
      <c r="D1321" s="24"/>
      <c r="E1321" s="24"/>
      <c r="F1321" s="24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7"/>
      <c r="X1321" s="17"/>
      <c r="Y1321" s="17"/>
      <c r="Z1321" s="17"/>
    </row>
    <row r="1322" ht="15.75" customHeight="1">
      <c r="A1322" s="24"/>
      <c r="B1322" s="24"/>
      <c r="C1322" s="15"/>
      <c r="D1322" s="24"/>
      <c r="E1322" s="24"/>
      <c r="F1322" s="24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7"/>
      <c r="X1322" s="17"/>
      <c r="Y1322" s="17"/>
      <c r="Z1322" s="17"/>
    </row>
    <row r="1323" ht="15.75" customHeight="1">
      <c r="A1323" s="24"/>
      <c r="B1323" s="24"/>
      <c r="C1323" s="15"/>
      <c r="D1323" s="24"/>
      <c r="E1323" s="24"/>
      <c r="F1323" s="24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7"/>
      <c r="X1323" s="17"/>
      <c r="Y1323" s="17"/>
      <c r="Z1323" s="17"/>
    </row>
    <row r="1324" ht="15.75" customHeight="1">
      <c r="A1324" s="24"/>
      <c r="B1324" s="24"/>
      <c r="C1324" s="15"/>
      <c r="D1324" s="24"/>
      <c r="E1324" s="24"/>
      <c r="F1324" s="24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7"/>
      <c r="X1324" s="17"/>
      <c r="Y1324" s="17"/>
      <c r="Z1324" s="17"/>
    </row>
    <row r="1325" ht="15.75" customHeight="1">
      <c r="A1325" s="24"/>
      <c r="B1325" s="24"/>
      <c r="C1325" s="15"/>
      <c r="D1325" s="24"/>
      <c r="E1325" s="24"/>
      <c r="F1325" s="24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7"/>
      <c r="X1325" s="17"/>
      <c r="Y1325" s="17"/>
      <c r="Z1325" s="17"/>
    </row>
    <row r="1326" ht="15.75" customHeight="1">
      <c r="A1326" s="24"/>
      <c r="B1326" s="24"/>
      <c r="C1326" s="15"/>
      <c r="D1326" s="24"/>
      <c r="E1326" s="24"/>
      <c r="F1326" s="24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7"/>
      <c r="X1326" s="17"/>
      <c r="Y1326" s="17"/>
      <c r="Z1326" s="17"/>
    </row>
    <row r="1327" ht="15.75" customHeight="1">
      <c r="A1327" s="24"/>
      <c r="B1327" s="24"/>
      <c r="C1327" s="15"/>
      <c r="D1327" s="24"/>
      <c r="E1327" s="24"/>
      <c r="F1327" s="24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7"/>
      <c r="X1327" s="17"/>
      <c r="Y1327" s="17"/>
      <c r="Z1327" s="17"/>
    </row>
    <row r="1328" ht="15.75" customHeight="1">
      <c r="A1328" s="24"/>
      <c r="B1328" s="24"/>
      <c r="C1328" s="15"/>
      <c r="D1328" s="24"/>
      <c r="E1328" s="24"/>
      <c r="F1328" s="24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7"/>
      <c r="X1328" s="17"/>
      <c r="Y1328" s="17"/>
      <c r="Z1328" s="17"/>
    </row>
    <row r="1329" ht="15.75" customHeight="1">
      <c r="A1329" s="24"/>
      <c r="B1329" s="24"/>
      <c r="C1329" s="15"/>
      <c r="D1329" s="24"/>
      <c r="E1329" s="24"/>
      <c r="F1329" s="24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7"/>
      <c r="X1329" s="17"/>
      <c r="Y1329" s="17"/>
      <c r="Z1329" s="17"/>
    </row>
    <row r="1330" ht="15.75" customHeight="1">
      <c r="A1330" s="24"/>
      <c r="B1330" s="24"/>
      <c r="C1330" s="15"/>
      <c r="D1330" s="24"/>
      <c r="E1330" s="24"/>
      <c r="F1330" s="24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7"/>
      <c r="X1330" s="17"/>
      <c r="Y1330" s="17"/>
      <c r="Z1330" s="17"/>
    </row>
    <row r="1331" ht="15.75" customHeight="1">
      <c r="A1331" s="24"/>
      <c r="B1331" s="24"/>
      <c r="C1331" s="15"/>
      <c r="D1331" s="24"/>
      <c r="E1331" s="24"/>
      <c r="F1331" s="24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7"/>
      <c r="X1331" s="17"/>
      <c r="Y1331" s="17"/>
      <c r="Z1331" s="17"/>
    </row>
    <row r="1332" ht="15.75" customHeight="1">
      <c r="A1332" s="24"/>
      <c r="B1332" s="24"/>
      <c r="C1332" s="15"/>
      <c r="D1332" s="24"/>
      <c r="E1332" s="24"/>
      <c r="F1332" s="24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7"/>
      <c r="X1332" s="17"/>
      <c r="Y1332" s="17"/>
      <c r="Z1332" s="17"/>
    </row>
    <row r="1333" ht="15.75" customHeight="1">
      <c r="A1333" s="24"/>
      <c r="B1333" s="24"/>
      <c r="C1333" s="15"/>
      <c r="D1333" s="24"/>
      <c r="E1333" s="24"/>
      <c r="F1333" s="24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7"/>
      <c r="X1333" s="17"/>
      <c r="Y1333" s="17"/>
      <c r="Z1333" s="17"/>
    </row>
    <row r="1334" ht="15.75" customHeight="1">
      <c r="A1334" s="24"/>
      <c r="B1334" s="24"/>
      <c r="C1334" s="15"/>
      <c r="D1334" s="24"/>
      <c r="E1334" s="24"/>
      <c r="F1334" s="24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7"/>
      <c r="X1334" s="17"/>
      <c r="Y1334" s="17"/>
      <c r="Z1334" s="17"/>
    </row>
    <row r="1335" ht="15.75" customHeight="1">
      <c r="A1335" s="24"/>
      <c r="B1335" s="24"/>
      <c r="C1335" s="15"/>
      <c r="D1335" s="24"/>
      <c r="E1335" s="24"/>
      <c r="F1335" s="24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7"/>
      <c r="X1335" s="17"/>
      <c r="Y1335" s="17"/>
      <c r="Z1335" s="17"/>
    </row>
    <row r="1336" ht="15.75" customHeight="1">
      <c r="A1336" s="24"/>
      <c r="B1336" s="24"/>
      <c r="C1336" s="15"/>
      <c r="D1336" s="24"/>
      <c r="E1336" s="24"/>
      <c r="F1336" s="24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7"/>
      <c r="X1336" s="17"/>
      <c r="Y1336" s="17"/>
      <c r="Z1336" s="17"/>
    </row>
    <row r="1337" ht="15.75" customHeight="1">
      <c r="A1337" s="24"/>
      <c r="B1337" s="24"/>
      <c r="C1337" s="15"/>
      <c r="D1337" s="24"/>
      <c r="E1337" s="24"/>
      <c r="F1337" s="24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7"/>
      <c r="X1337" s="17"/>
      <c r="Y1337" s="17"/>
      <c r="Z1337" s="17"/>
    </row>
    <row r="1338" ht="15.75" customHeight="1">
      <c r="A1338" s="24"/>
      <c r="B1338" s="24"/>
      <c r="C1338" s="15"/>
      <c r="D1338" s="24"/>
      <c r="E1338" s="24"/>
      <c r="F1338" s="24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7"/>
      <c r="X1338" s="17"/>
      <c r="Y1338" s="17"/>
      <c r="Z1338" s="17"/>
    </row>
    <row r="1339" ht="15.75" customHeight="1">
      <c r="A1339" s="24"/>
      <c r="B1339" s="24"/>
      <c r="C1339" s="15"/>
      <c r="D1339" s="24"/>
      <c r="E1339" s="24"/>
      <c r="F1339" s="24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7"/>
      <c r="X1339" s="17"/>
      <c r="Y1339" s="17"/>
      <c r="Z1339" s="17"/>
    </row>
    <row r="1340" ht="15.75" customHeight="1">
      <c r="A1340" s="24"/>
      <c r="B1340" s="24"/>
      <c r="C1340" s="15"/>
      <c r="D1340" s="24"/>
      <c r="E1340" s="24"/>
      <c r="F1340" s="24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7"/>
      <c r="X1340" s="17"/>
      <c r="Y1340" s="17"/>
      <c r="Z1340" s="17"/>
    </row>
    <row r="1341" ht="15.75" customHeight="1">
      <c r="A1341" s="24"/>
      <c r="B1341" s="24"/>
      <c r="C1341" s="15"/>
      <c r="D1341" s="24"/>
      <c r="E1341" s="24"/>
      <c r="F1341" s="24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7"/>
      <c r="X1341" s="17"/>
      <c r="Y1341" s="17"/>
      <c r="Z1341" s="17"/>
    </row>
    <row r="1342" ht="15.75" customHeight="1">
      <c r="A1342" s="24"/>
      <c r="B1342" s="24"/>
      <c r="C1342" s="15"/>
      <c r="D1342" s="24"/>
      <c r="E1342" s="24"/>
      <c r="F1342" s="24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7"/>
      <c r="X1342" s="17"/>
      <c r="Y1342" s="17"/>
      <c r="Z1342" s="17"/>
    </row>
    <row r="1343" ht="15.75" customHeight="1">
      <c r="A1343" s="24"/>
      <c r="B1343" s="24"/>
      <c r="C1343" s="15"/>
      <c r="D1343" s="24"/>
      <c r="E1343" s="24"/>
      <c r="F1343" s="24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7"/>
      <c r="X1343" s="17"/>
      <c r="Y1343" s="17"/>
      <c r="Z1343" s="17"/>
    </row>
    <row r="1344" ht="15.75" customHeight="1">
      <c r="A1344" s="24"/>
      <c r="B1344" s="24"/>
      <c r="C1344" s="15"/>
      <c r="D1344" s="24"/>
      <c r="E1344" s="24"/>
      <c r="F1344" s="24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7"/>
      <c r="X1344" s="17"/>
      <c r="Y1344" s="17"/>
      <c r="Z1344" s="17"/>
    </row>
    <row r="1345" ht="15.75" customHeight="1">
      <c r="A1345" s="24"/>
      <c r="B1345" s="24"/>
      <c r="C1345" s="15"/>
      <c r="D1345" s="24"/>
      <c r="E1345" s="24"/>
      <c r="F1345" s="24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7"/>
      <c r="X1345" s="17"/>
      <c r="Y1345" s="17"/>
      <c r="Z1345" s="17"/>
    </row>
    <row r="1346" ht="15.75" customHeight="1">
      <c r="A1346" s="24"/>
      <c r="B1346" s="24"/>
      <c r="C1346" s="15"/>
      <c r="D1346" s="24"/>
      <c r="E1346" s="24"/>
      <c r="F1346" s="24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7"/>
      <c r="X1346" s="17"/>
      <c r="Y1346" s="17"/>
      <c r="Z1346" s="17"/>
    </row>
    <row r="1347" ht="15.75" customHeight="1">
      <c r="A1347" s="24"/>
      <c r="B1347" s="24"/>
      <c r="C1347" s="15"/>
      <c r="D1347" s="24"/>
      <c r="E1347" s="24"/>
      <c r="F1347" s="24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7"/>
      <c r="X1347" s="17"/>
      <c r="Y1347" s="17"/>
      <c r="Z1347" s="17"/>
    </row>
    <row r="1348" ht="15.75" customHeight="1">
      <c r="A1348" s="24"/>
      <c r="B1348" s="24"/>
      <c r="C1348" s="15"/>
      <c r="D1348" s="24"/>
      <c r="E1348" s="24"/>
      <c r="F1348" s="24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7"/>
      <c r="X1348" s="17"/>
      <c r="Y1348" s="17"/>
      <c r="Z1348" s="17"/>
    </row>
    <row r="1349" ht="15.75" customHeight="1">
      <c r="A1349" s="24"/>
      <c r="B1349" s="24"/>
      <c r="C1349" s="15"/>
      <c r="D1349" s="24"/>
      <c r="E1349" s="24"/>
      <c r="F1349" s="24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7"/>
      <c r="X1349" s="17"/>
      <c r="Y1349" s="17"/>
      <c r="Z1349" s="17"/>
    </row>
    <row r="1350" ht="15.75" customHeight="1">
      <c r="A1350" s="24"/>
      <c r="B1350" s="24"/>
      <c r="C1350" s="15"/>
      <c r="D1350" s="24"/>
      <c r="E1350" s="24"/>
      <c r="F1350" s="24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7"/>
      <c r="X1350" s="17"/>
      <c r="Y1350" s="17"/>
      <c r="Z1350" s="17"/>
    </row>
    <row r="1351" ht="15.75" customHeight="1">
      <c r="A1351" s="24"/>
      <c r="B1351" s="24"/>
      <c r="C1351" s="15"/>
      <c r="D1351" s="24"/>
      <c r="E1351" s="24"/>
      <c r="F1351" s="24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7"/>
      <c r="X1351" s="17"/>
      <c r="Y1351" s="17"/>
      <c r="Z1351" s="17"/>
    </row>
    <row r="1352" ht="15.75" customHeight="1">
      <c r="A1352" s="24"/>
      <c r="B1352" s="24"/>
      <c r="C1352" s="15"/>
      <c r="D1352" s="24"/>
      <c r="E1352" s="24"/>
      <c r="F1352" s="24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7"/>
      <c r="X1352" s="17"/>
      <c r="Y1352" s="17"/>
      <c r="Z1352" s="17"/>
    </row>
    <row r="1353" ht="15.75" customHeight="1">
      <c r="A1353" s="24"/>
      <c r="B1353" s="24"/>
      <c r="C1353" s="15"/>
      <c r="D1353" s="24"/>
      <c r="E1353" s="24"/>
      <c r="F1353" s="24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7"/>
      <c r="X1353" s="17"/>
      <c r="Y1353" s="17"/>
      <c r="Z1353" s="17"/>
    </row>
    <row r="1354" ht="15.75" customHeight="1">
      <c r="A1354" s="24"/>
      <c r="B1354" s="24"/>
      <c r="C1354" s="15"/>
      <c r="D1354" s="24"/>
      <c r="E1354" s="24"/>
      <c r="F1354" s="24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7"/>
      <c r="X1354" s="17"/>
      <c r="Y1354" s="17"/>
      <c r="Z1354" s="17"/>
    </row>
    <row r="1355" ht="15.75" customHeight="1">
      <c r="A1355" s="24"/>
      <c r="B1355" s="24"/>
      <c r="C1355" s="15"/>
      <c r="D1355" s="24"/>
      <c r="E1355" s="24"/>
      <c r="F1355" s="24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7"/>
      <c r="X1355" s="17"/>
      <c r="Y1355" s="17"/>
      <c r="Z1355" s="17"/>
    </row>
    <row r="1356" ht="15.75" customHeight="1">
      <c r="A1356" s="24"/>
      <c r="B1356" s="24"/>
      <c r="C1356" s="15"/>
      <c r="D1356" s="24"/>
      <c r="E1356" s="24"/>
      <c r="F1356" s="24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7"/>
      <c r="X1356" s="17"/>
      <c r="Y1356" s="17"/>
      <c r="Z1356" s="17"/>
    </row>
    <row r="1357" ht="15.75" customHeight="1">
      <c r="A1357" s="24"/>
      <c r="B1357" s="24"/>
      <c r="C1357" s="15"/>
      <c r="D1357" s="24"/>
      <c r="E1357" s="24"/>
      <c r="F1357" s="24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7"/>
      <c r="X1357" s="17"/>
      <c r="Y1357" s="17"/>
      <c r="Z1357" s="17"/>
    </row>
    <row r="1358" ht="15.75" customHeight="1">
      <c r="A1358" s="24"/>
      <c r="B1358" s="24"/>
      <c r="C1358" s="15"/>
      <c r="D1358" s="24"/>
      <c r="E1358" s="24"/>
      <c r="F1358" s="24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7"/>
      <c r="X1358" s="17"/>
      <c r="Y1358" s="17"/>
      <c r="Z1358" s="17"/>
    </row>
    <row r="1359" ht="15.75" customHeight="1">
      <c r="A1359" s="24"/>
      <c r="B1359" s="24"/>
      <c r="C1359" s="15"/>
      <c r="D1359" s="24"/>
      <c r="E1359" s="24"/>
      <c r="F1359" s="24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7"/>
      <c r="X1359" s="17"/>
      <c r="Y1359" s="17"/>
      <c r="Z1359" s="17"/>
    </row>
    <row r="1360" ht="15.75" customHeight="1">
      <c r="A1360" s="24"/>
      <c r="B1360" s="24"/>
      <c r="C1360" s="15"/>
      <c r="D1360" s="24"/>
      <c r="E1360" s="24"/>
      <c r="F1360" s="24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7"/>
      <c r="X1360" s="17"/>
      <c r="Y1360" s="17"/>
      <c r="Z1360" s="17"/>
    </row>
    <row r="1361" ht="15.75" customHeight="1">
      <c r="A1361" s="24"/>
      <c r="B1361" s="24"/>
      <c r="C1361" s="15"/>
      <c r="D1361" s="24"/>
      <c r="E1361" s="24"/>
      <c r="F1361" s="24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7"/>
      <c r="X1361" s="17"/>
      <c r="Y1361" s="17"/>
      <c r="Z1361" s="17"/>
    </row>
    <row r="1362" ht="15.75" customHeight="1">
      <c r="A1362" s="24"/>
      <c r="B1362" s="24"/>
      <c r="C1362" s="15"/>
      <c r="D1362" s="24"/>
      <c r="E1362" s="24"/>
      <c r="F1362" s="24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7"/>
      <c r="X1362" s="17"/>
      <c r="Y1362" s="17"/>
      <c r="Z1362" s="17"/>
    </row>
    <row r="1363" ht="15.75" customHeight="1">
      <c r="A1363" s="24"/>
      <c r="B1363" s="24"/>
      <c r="C1363" s="15"/>
      <c r="D1363" s="24"/>
      <c r="E1363" s="24"/>
      <c r="F1363" s="24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7"/>
      <c r="X1363" s="17"/>
      <c r="Y1363" s="17"/>
      <c r="Z1363" s="17"/>
    </row>
    <row r="1364" ht="15.75" customHeight="1">
      <c r="A1364" s="24"/>
      <c r="B1364" s="24"/>
      <c r="C1364" s="15"/>
      <c r="D1364" s="24"/>
      <c r="E1364" s="24"/>
      <c r="F1364" s="24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7"/>
      <c r="X1364" s="17"/>
      <c r="Y1364" s="17"/>
      <c r="Z1364" s="17"/>
    </row>
    <row r="1365" ht="15.75" customHeight="1">
      <c r="A1365" s="24"/>
      <c r="B1365" s="24"/>
      <c r="C1365" s="15"/>
      <c r="D1365" s="24"/>
      <c r="E1365" s="24"/>
      <c r="F1365" s="24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7"/>
      <c r="X1365" s="17"/>
      <c r="Y1365" s="17"/>
      <c r="Z1365" s="17"/>
    </row>
    <row r="1366" ht="15.75" customHeight="1">
      <c r="A1366" s="24"/>
      <c r="B1366" s="24"/>
      <c r="C1366" s="15"/>
      <c r="D1366" s="24"/>
      <c r="E1366" s="24"/>
      <c r="F1366" s="24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7"/>
      <c r="X1366" s="17"/>
      <c r="Y1366" s="17"/>
      <c r="Z1366" s="17"/>
    </row>
    <row r="1367" ht="15.75" customHeight="1">
      <c r="A1367" s="24"/>
      <c r="B1367" s="24"/>
      <c r="C1367" s="15"/>
      <c r="D1367" s="24"/>
      <c r="E1367" s="24"/>
      <c r="F1367" s="24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7"/>
      <c r="X1367" s="17"/>
      <c r="Y1367" s="17"/>
      <c r="Z1367" s="17"/>
    </row>
    <row r="1368" ht="15.75" customHeight="1">
      <c r="A1368" s="24"/>
      <c r="B1368" s="24"/>
      <c r="C1368" s="15"/>
      <c r="D1368" s="24"/>
      <c r="E1368" s="24"/>
      <c r="F1368" s="24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7"/>
      <c r="X1368" s="17"/>
      <c r="Y1368" s="17"/>
      <c r="Z1368" s="17"/>
    </row>
    <row r="1369" ht="15.75" customHeight="1">
      <c r="A1369" s="24"/>
      <c r="B1369" s="24"/>
      <c r="C1369" s="15"/>
      <c r="D1369" s="24"/>
      <c r="E1369" s="24"/>
      <c r="F1369" s="24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7"/>
      <c r="X1369" s="17"/>
      <c r="Y1369" s="17"/>
      <c r="Z1369" s="17"/>
    </row>
    <row r="1370" ht="15.75" customHeight="1">
      <c r="A1370" s="24"/>
      <c r="B1370" s="24"/>
      <c r="C1370" s="15"/>
      <c r="D1370" s="24"/>
      <c r="E1370" s="24"/>
      <c r="F1370" s="24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7"/>
      <c r="X1370" s="17"/>
      <c r="Y1370" s="17"/>
      <c r="Z1370" s="17"/>
    </row>
    <row r="1371" ht="15.75" customHeight="1">
      <c r="A1371" s="24"/>
      <c r="B1371" s="24"/>
      <c r="C1371" s="15"/>
      <c r="D1371" s="24"/>
      <c r="E1371" s="24"/>
      <c r="F1371" s="24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7"/>
      <c r="X1371" s="17"/>
      <c r="Y1371" s="17"/>
      <c r="Z1371" s="17"/>
    </row>
    <row r="1372" ht="15.75" customHeight="1">
      <c r="A1372" s="24"/>
      <c r="B1372" s="24"/>
      <c r="C1372" s="15"/>
      <c r="D1372" s="24"/>
      <c r="E1372" s="24"/>
      <c r="F1372" s="24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7"/>
      <c r="X1372" s="17"/>
      <c r="Y1372" s="17"/>
      <c r="Z1372" s="17"/>
    </row>
    <row r="1373" ht="15.75" customHeight="1">
      <c r="A1373" s="24"/>
      <c r="B1373" s="24"/>
      <c r="C1373" s="15"/>
      <c r="D1373" s="24"/>
      <c r="E1373" s="24"/>
      <c r="F1373" s="24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7"/>
      <c r="X1373" s="17"/>
      <c r="Y1373" s="17"/>
      <c r="Z1373" s="17"/>
    </row>
    <row r="1374" ht="15.75" customHeight="1">
      <c r="A1374" s="24"/>
      <c r="B1374" s="24"/>
      <c r="C1374" s="15"/>
      <c r="D1374" s="24"/>
      <c r="E1374" s="24"/>
      <c r="F1374" s="24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7"/>
      <c r="X1374" s="17"/>
      <c r="Y1374" s="17"/>
      <c r="Z1374" s="17"/>
    </row>
    <row r="1375" ht="15.75" customHeight="1">
      <c r="A1375" s="24"/>
      <c r="B1375" s="24"/>
      <c r="C1375" s="15"/>
      <c r="D1375" s="24"/>
      <c r="E1375" s="24"/>
      <c r="F1375" s="24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7"/>
      <c r="X1375" s="17"/>
      <c r="Y1375" s="17"/>
      <c r="Z1375" s="17"/>
    </row>
    <row r="1376" ht="15.75" customHeight="1">
      <c r="A1376" s="24"/>
      <c r="B1376" s="24"/>
      <c r="C1376" s="15"/>
      <c r="D1376" s="24"/>
      <c r="E1376" s="24"/>
      <c r="F1376" s="24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7"/>
      <c r="X1376" s="17"/>
      <c r="Y1376" s="17"/>
      <c r="Z1376" s="17"/>
    </row>
    <row r="1377" ht="15.75" customHeight="1">
      <c r="A1377" s="24"/>
      <c r="B1377" s="24"/>
      <c r="C1377" s="15"/>
      <c r="D1377" s="24"/>
      <c r="E1377" s="24"/>
      <c r="F1377" s="24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7"/>
      <c r="X1377" s="17"/>
      <c r="Y1377" s="17"/>
      <c r="Z1377" s="17"/>
    </row>
    <row r="1378" ht="15.75" customHeight="1">
      <c r="A1378" s="24"/>
      <c r="B1378" s="24"/>
      <c r="C1378" s="15"/>
      <c r="D1378" s="24"/>
      <c r="E1378" s="24"/>
      <c r="F1378" s="24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7"/>
      <c r="X1378" s="17"/>
      <c r="Y1378" s="17"/>
      <c r="Z1378" s="17"/>
    </row>
    <row r="1379" ht="15.75" customHeight="1">
      <c r="A1379" s="24"/>
      <c r="B1379" s="24"/>
      <c r="C1379" s="15"/>
      <c r="D1379" s="24"/>
      <c r="E1379" s="24"/>
      <c r="F1379" s="24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7"/>
      <c r="X1379" s="17"/>
      <c r="Y1379" s="17"/>
      <c r="Z1379" s="17"/>
    </row>
    <row r="1380" ht="15.75" customHeight="1">
      <c r="A1380" s="24"/>
      <c r="B1380" s="24"/>
      <c r="C1380" s="15"/>
      <c r="D1380" s="24"/>
      <c r="E1380" s="24"/>
      <c r="F1380" s="24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7"/>
      <c r="X1380" s="17"/>
      <c r="Y1380" s="17"/>
      <c r="Z1380" s="17"/>
    </row>
    <row r="1381" ht="15.75" customHeight="1">
      <c r="A1381" s="24"/>
      <c r="B1381" s="24"/>
      <c r="C1381" s="15"/>
      <c r="D1381" s="24"/>
      <c r="E1381" s="24"/>
      <c r="F1381" s="24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7"/>
      <c r="X1381" s="17"/>
      <c r="Y1381" s="17"/>
      <c r="Z1381" s="17"/>
    </row>
    <row r="1382" ht="15.75" customHeight="1">
      <c r="A1382" s="24"/>
      <c r="B1382" s="24"/>
      <c r="C1382" s="15"/>
      <c r="D1382" s="24"/>
      <c r="E1382" s="24"/>
      <c r="F1382" s="24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7"/>
      <c r="X1382" s="17"/>
      <c r="Y1382" s="17"/>
      <c r="Z1382" s="17"/>
    </row>
    <row r="1383" ht="15.75" customHeight="1">
      <c r="A1383" s="24"/>
      <c r="B1383" s="24"/>
      <c r="C1383" s="15"/>
      <c r="D1383" s="24"/>
      <c r="E1383" s="24"/>
      <c r="F1383" s="24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7"/>
      <c r="X1383" s="17"/>
      <c r="Y1383" s="17"/>
      <c r="Z1383" s="17"/>
    </row>
    <row r="1384" ht="15.75" customHeight="1">
      <c r="A1384" s="24"/>
      <c r="B1384" s="24"/>
      <c r="C1384" s="15"/>
      <c r="D1384" s="24"/>
      <c r="E1384" s="24"/>
      <c r="F1384" s="24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7"/>
      <c r="X1384" s="17"/>
      <c r="Y1384" s="17"/>
      <c r="Z1384" s="17"/>
    </row>
    <row r="1385" ht="15.75" customHeight="1">
      <c r="A1385" s="24"/>
      <c r="B1385" s="24"/>
      <c r="C1385" s="15"/>
      <c r="D1385" s="24"/>
      <c r="E1385" s="24"/>
      <c r="F1385" s="24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7"/>
      <c r="X1385" s="17"/>
      <c r="Y1385" s="17"/>
      <c r="Z1385" s="17"/>
    </row>
    <row r="1386" ht="15.75" customHeight="1">
      <c r="A1386" s="24"/>
      <c r="B1386" s="24"/>
      <c r="C1386" s="15"/>
      <c r="D1386" s="24"/>
      <c r="E1386" s="24"/>
      <c r="F1386" s="24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7"/>
      <c r="X1386" s="17"/>
      <c r="Y1386" s="17"/>
      <c r="Z1386" s="17"/>
    </row>
    <row r="1387" ht="15.75" customHeight="1">
      <c r="A1387" s="24"/>
      <c r="B1387" s="24"/>
      <c r="C1387" s="15"/>
      <c r="D1387" s="24"/>
      <c r="E1387" s="24"/>
      <c r="F1387" s="24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7"/>
      <c r="X1387" s="17"/>
      <c r="Y1387" s="17"/>
      <c r="Z1387" s="17"/>
    </row>
    <row r="1388" ht="15.75" customHeight="1">
      <c r="A1388" s="24"/>
      <c r="B1388" s="24"/>
      <c r="C1388" s="15"/>
      <c r="D1388" s="24"/>
      <c r="E1388" s="24"/>
      <c r="F1388" s="24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7"/>
      <c r="X1388" s="17"/>
      <c r="Y1388" s="17"/>
      <c r="Z1388" s="17"/>
    </row>
    <row r="1389" ht="15.75" customHeight="1">
      <c r="A1389" s="24"/>
      <c r="B1389" s="24"/>
      <c r="C1389" s="15"/>
      <c r="D1389" s="24"/>
      <c r="E1389" s="24"/>
      <c r="F1389" s="24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7"/>
      <c r="X1389" s="17"/>
      <c r="Y1389" s="17"/>
      <c r="Z1389" s="17"/>
    </row>
    <row r="1390" ht="15.75" customHeight="1">
      <c r="A1390" s="24"/>
      <c r="B1390" s="24"/>
      <c r="C1390" s="15"/>
      <c r="D1390" s="24"/>
      <c r="E1390" s="24"/>
      <c r="F1390" s="24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7"/>
      <c r="X1390" s="17"/>
      <c r="Y1390" s="17"/>
      <c r="Z1390" s="17"/>
    </row>
    <row r="1391" ht="15.75" customHeight="1">
      <c r="A1391" s="24"/>
      <c r="B1391" s="24"/>
      <c r="C1391" s="15"/>
      <c r="D1391" s="24"/>
      <c r="E1391" s="24"/>
      <c r="F1391" s="24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7"/>
      <c r="X1391" s="17"/>
      <c r="Y1391" s="17"/>
      <c r="Z1391" s="17"/>
    </row>
    <row r="1392" ht="15.75" customHeight="1">
      <c r="A1392" s="24"/>
      <c r="B1392" s="24"/>
      <c r="C1392" s="15"/>
      <c r="D1392" s="24"/>
      <c r="E1392" s="24"/>
      <c r="F1392" s="24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7"/>
      <c r="X1392" s="17"/>
      <c r="Y1392" s="17"/>
      <c r="Z1392" s="17"/>
    </row>
    <row r="1393" ht="15.75" customHeight="1">
      <c r="A1393" s="24"/>
      <c r="B1393" s="24"/>
      <c r="C1393" s="15"/>
      <c r="D1393" s="24"/>
      <c r="E1393" s="24"/>
      <c r="F1393" s="24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7"/>
      <c r="X1393" s="17"/>
      <c r="Y1393" s="17"/>
      <c r="Z1393" s="17"/>
    </row>
    <row r="1394" ht="15.75" customHeight="1">
      <c r="A1394" s="24"/>
      <c r="B1394" s="24"/>
      <c r="C1394" s="15"/>
      <c r="D1394" s="24"/>
      <c r="E1394" s="24"/>
      <c r="F1394" s="24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7"/>
      <c r="X1394" s="17"/>
      <c r="Y1394" s="17"/>
      <c r="Z1394" s="17"/>
    </row>
    <row r="1395" ht="15.75" customHeight="1">
      <c r="A1395" s="24"/>
      <c r="B1395" s="24"/>
      <c r="C1395" s="15"/>
      <c r="D1395" s="24"/>
      <c r="E1395" s="24"/>
      <c r="F1395" s="24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7"/>
      <c r="X1395" s="17"/>
      <c r="Y1395" s="17"/>
      <c r="Z1395" s="17"/>
    </row>
    <row r="1396" ht="15.75" customHeight="1">
      <c r="A1396" s="24"/>
      <c r="B1396" s="24"/>
      <c r="C1396" s="15"/>
      <c r="D1396" s="24"/>
      <c r="E1396" s="24"/>
      <c r="F1396" s="24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7"/>
      <c r="X1396" s="17"/>
      <c r="Y1396" s="17"/>
      <c r="Z1396" s="17"/>
    </row>
    <row r="1397" ht="15.75" customHeight="1">
      <c r="A1397" s="24"/>
      <c r="B1397" s="24"/>
      <c r="C1397" s="15"/>
      <c r="D1397" s="24"/>
      <c r="E1397" s="24"/>
      <c r="F1397" s="24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7"/>
      <c r="X1397" s="17"/>
      <c r="Y1397" s="17"/>
      <c r="Z1397" s="17"/>
    </row>
    <row r="1398" ht="15.75" customHeight="1">
      <c r="A1398" s="24"/>
      <c r="B1398" s="24"/>
      <c r="C1398" s="15"/>
      <c r="D1398" s="24"/>
      <c r="E1398" s="24"/>
      <c r="F1398" s="24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7"/>
      <c r="X1398" s="17"/>
      <c r="Y1398" s="17"/>
      <c r="Z1398" s="17"/>
    </row>
    <row r="1399" ht="15.75" customHeight="1">
      <c r="A1399" s="24"/>
      <c r="B1399" s="24"/>
      <c r="C1399" s="15"/>
      <c r="D1399" s="24"/>
      <c r="E1399" s="24"/>
      <c r="F1399" s="24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7"/>
      <c r="X1399" s="17"/>
      <c r="Y1399" s="17"/>
      <c r="Z1399" s="17"/>
    </row>
    <row r="1400" ht="15.75" customHeight="1">
      <c r="A1400" s="24"/>
      <c r="B1400" s="24"/>
      <c r="C1400" s="15"/>
      <c r="D1400" s="24"/>
      <c r="E1400" s="24"/>
      <c r="F1400" s="24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7"/>
      <c r="X1400" s="17"/>
      <c r="Y1400" s="17"/>
      <c r="Z1400" s="17"/>
    </row>
    <row r="1401" ht="15.75" customHeight="1">
      <c r="A1401" s="24"/>
      <c r="B1401" s="24"/>
      <c r="C1401" s="15"/>
      <c r="D1401" s="24"/>
      <c r="E1401" s="24"/>
      <c r="F1401" s="24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7"/>
      <c r="X1401" s="17"/>
      <c r="Y1401" s="17"/>
      <c r="Z1401" s="17"/>
    </row>
    <row r="1402" ht="15.75" customHeight="1">
      <c r="A1402" s="24"/>
      <c r="B1402" s="24"/>
      <c r="C1402" s="15"/>
      <c r="D1402" s="24"/>
      <c r="E1402" s="24"/>
      <c r="F1402" s="24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7"/>
      <c r="X1402" s="17"/>
      <c r="Y1402" s="17"/>
      <c r="Z1402" s="17"/>
    </row>
    <row r="1403" ht="15.75" customHeight="1">
      <c r="A1403" s="24"/>
      <c r="B1403" s="24"/>
      <c r="C1403" s="15"/>
      <c r="D1403" s="24"/>
      <c r="E1403" s="24"/>
      <c r="F1403" s="24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7"/>
      <c r="X1403" s="17"/>
      <c r="Y1403" s="17"/>
      <c r="Z1403" s="17"/>
    </row>
    <row r="1404" ht="15.75" customHeight="1">
      <c r="A1404" s="24"/>
      <c r="B1404" s="24"/>
      <c r="C1404" s="15"/>
      <c r="D1404" s="24"/>
      <c r="E1404" s="24"/>
      <c r="F1404" s="24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7"/>
      <c r="X1404" s="17"/>
      <c r="Y1404" s="17"/>
      <c r="Z1404" s="17"/>
    </row>
    <row r="1405" ht="15.75" customHeight="1">
      <c r="A1405" s="24"/>
      <c r="B1405" s="24"/>
      <c r="C1405" s="15"/>
      <c r="D1405" s="24"/>
      <c r="E1405" s="24"/>
      <c r="F1405" s="24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7"/>
      <c r="X1405" s="17"/>
      <c r="Y1405" s="17"/>
      <c r="Z1405" s="17"/>
    </row>
    <row r="1406" ht="15.75" customHeight="1">
      <c r="A1406" s="24"/>
      <c r="B1406" s="24"/>
      <c r="C1406" s="15"/>
      <c r="D1406" s="24"/>
      <c r="E1406" s="24"/>
      <c r="F1406" s="24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7"/>
      <c r="X1406" s="17"/>
      <c r="Y1406" s="17"/>
      <c r="Z1406" s="17"/>
    </row>
    <row r="1407" ht="15.75" customHeight="1">
      <c r="A1407" s="24"/>
      <c r="B1407" s="24"/>
      <c r="C1407" s="15"/>
      <c r="D1407" s="24"/>
      <c r="E1407" s="24"/>
      <c r="F1407" s="24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7"/>
      <c r="X1407" s="17"/>
      <c r="Y1407" s="17"/>
      <c r="Z1407" s="17"/>
    </row>
    <row r="1408" ht="15.75" customHeight="1">
      <c r="A1408" s="24"/>
      <c r="B1408" s="24"/>
      <c r="C1408" s="15"/>
      <c r="D1408" s="24"/>
      <c r="E1408" s="24"/>
      <c r="F1408" s="24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7"/>
      <c r="X1408" s="17"/>
      <c r="Y1408" s="17"/>
      <c r="Z1408" s="17"/>
    </row>
    <row r="1409" ht="15.75" customHeight="1">
      <c r="A1409" s="24"/>
      <c r="B1409" s="24"/>
      <c r="C1409" s="15"/>
      <c r="D1409" s="24"/>
      <c r="E1409" s="24"/>
      <c r="F1409" s="24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7"/>
      <c r="X1409" s="17"/>
      <c r="Y1409" s="17"/>
      <c r="Z1409" s="17"/>
    </row>
    <row r="1410" ht="15.75" customHeight="1">
      <c r="A1410" s="24"/>
      <c r="B1410" s="24"/>
      <c r="C1410" s="15"/>
      <c r="D1410" s="24"/>
      <c r="E1410" s="24"/>
      <c r="F1410" s="24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7"/>
      <c r="X1410" s="17"/>
      <c r="Y1410" s="17"/>
      <c r="Z1410" s="17"/>
    </row>
    <row r="1411" ht="15.75" customHeight="1">
      <c r="A1411" s="24"/>
      <c r="B1411" s="24"/>
      <c r="C1411" s="15"/>
      <c r="D1411" s="24"/>
      <c r="E1411" s="24"/>
      <c r="F1411" s="24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7"/>
      <c r="X1411" s="17"/>
      <c r="Y1411" s="17"/>
      <c r="Z1411" s="17"/>
    </row>
    <row r="1412" ht="15.75" customHeight="1">
      <c r="A1412" s="24"/>
      <c r="B1412" s="24"/>
      <c r="C1412" s="15"/>
      <c r="D1412" s="24"/>
      <c r="E1412" s="24"/>
      <c r="F1412" s="24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7"/>
      <c r="X1412" s="17"/>
      <c r="Y1412" s="17"/>
      <c r="Z1412" s="17"/>
    </row>
    <row r="1413" ht="15.75" customHeight="1">
      <c r="A1413" s="24"/>
      <c r="B1413" s="24"/>
      <c r="C1413" s="15"/>
      <c r="D1413" s="24"/>
      <c r="E1413" s="24"/>
      <c r="F1413" s="24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7"/>
      <c r="X1413" s="17"/>
      <c r="Y1413" s="17"/>
      <c r="Z1413" s="17"/>
    </row>
    <row r="1414" ht="15.75" customHeight="1">
      <c r="A1414" s="24"/>
      <c r="B1414" s="24"/>
      <c r="C1414" s="15"/>
      <c r="D1414" s="24"/>
      <c r="E1414" s="24"/>
      <c r="F1414" s="24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7"/>
      <c r="X1414" s="17"/>
      <c r="Y1414" s="17"/>
      <c r="Z1414" s="17"/>
    </row>
    <row r="1415" ht="15.75" customHeight="1">
      <c r="A1415" s="24"/>
      <c r="B1415" s="24"/>
      <c r="C1415" s="15"/>
      <c r="D1415" s="24"/>
      <c r="E1415" s="24"/>
      <c r="F1415" s="24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7"/>
      <c r="X1415" s="17"/>
      <c r="Y1415" s="17"/>
      <c r="Z1415" s="17"/>
    </row>
    <row r="1416" ht="15.75" customHeight="1">
      <c r="A1416" s="24"/>
      <c r="B1416" s="24"/>
      <c r="C1416" s="15"/>
      <c r="D1416" s="24"/>
      <c r="E1416" s="24"/>
      <c r="F1416" s="24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7"/>
      <c r="X1416" s="17"/>
      <c r="Y1416" s="17"/>
      <c r="Z1416" s="17"/>
    </row>
    <row r="1417" ht="15.75" customHeight="1">
      <c r="A1417" s="24"/>
      <c r="B1417" s="24"/>
      <c r="C1417" s="15"/>
      <c r="D1417" s="24"/>
      <c r="E1417" s="24"/>
      <c r="F1417" s="24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7"/>
      <c r="X1417" s="17"/>
      <c r="Y1417" s="17"/>
      <c r="Z1417" s="17"/>
    </row>
    <row r="1418" ht="15.75" customHeight="1">
      <c r="A1418" s="24"/>
      <c r="B1418" s="24"/>
      <c r="C1418" s="15"/>
      <c r="D1418" s="24"/>
      <c r="E1418" s="24"/>
      <c r="F1418" s="24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7"/>
      <c r="X1418" s="17"/>
      <c r="Y1418" s="17"/>
      <c r="Z1418" s="17"/>
    </row>
    <row r="1419" ht="15.75" customHeight="1">
      <c r="A1419" s="24"/>
      <c r="B1419" s="24"/>
      <c r="C1419" s="15"/>
      <c r="D1419" s="24"/>
      <c r="E1419" s="24"/>
      <c r="F1419" s="24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7"/>
      <c r="X1419" s="17"/>
      <c r="Y1419" s="17"/>
      <c r="Z1419" s="17"/>
    </row>
    <row r="1420" ht="15.75" customHeight="1">
      <c r="A1420" s="24"/>
      <c r="B1420" s="24"/>
      <c r="C1420" s="15"/>
      <c r="D1420" s="24"/>
      <c r="E1420" s="24"/>
      <c r="F1420" s="24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7"/>
      <c r="X1420" s="17"/>
      <c r="Y1420" s="17"/>
      <c r="Z1420" s="17"/>
    </row>
    <row r="1421" ht="15.75" customHeight="1">
      <c r="A1421" s="24"/>
      <c r="B1421" s="24"/>
      <c r="C1421" s="15"/>
      <c r="D1421" s="24"/>
      <c r="E1421" s="24"/>
      <c r="F1421" s="24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7"/>
      <c r="X1421" s="17"/>
      <c r="Y1421" s="17"/>
      <c r="Z1421" s="17"/>
    </row>
    <row r="1422" ht="15.75" customHeight="1">
      <c r="A1422" s="24"/>
      <c r="B1422" s="24"/>
      <c r="C1422" s="15"/>
      <c r="D1422" s="24"/>
      <c r="E1422" s="24"/>
      <c r="F1422" s="24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7"/>
      <c r="X1422" s="17"/>
      <c r="Y1422" s="17"/>
      <c r="Z1422" s="17"/>
    </row>
    <row r="1423" ht="15.75" customHeight="1">
      <c r="A1423" s="24"/>
      <c r="B1423" s="24"/>
      <c r="C1423" s="15"/>
      <c r="D1423" s="24"/>
      <c r="E1423" s="24"/>
      <c r="F1423" s="24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7"/>
      <c r="X1423" s="17"/>
      <c r="Y1423" s="17"/>
      <c r="Z1423" s="17"/>
    </row>
    <row r="1424" ht="15.75" customHeight="1">
      <c r="A1424" s="24"/>
      <c r="B1424" s="24"/>
      <c r="C1424" s="15"/>
      <c r="D1424" s="24"/>
      <c r="E1424" s="24"/>
      <c r="F1424" s="24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7"/>
      <c r="X1424" s="17"/>
      <c r="Y1424" s="17"/>
      <c r="Z1424" s="17"/>
    </row>
    <row r="1425" ht="15.75" customHeight="1">
      <c r="A1425" s="24"/>
      <c r="B1425" s="24"/>
      <c r="C1425" s="15"/>
      <c r="D1425" s="24"/>
      <c r="E1425" s="24"/>
      <c r="F1425" s="24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7"/>
      <c r="X1425" s="17"/>
      <c r="Y1425" s="17"/>
      <c r="Z1425" s="17"/>
    </row>
    <row r="1426" ht="15.75" customHeight="1">
      <c r="A1426" s="24"/>
      <c r="B1426" s="24"/>
      <c r="C1426" s="15"/>
      <c r="D1426" s="24"/>
      <c r="E1426" s="24"/>
      <c r="F1426" s="24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7"/>
      <c r="X1426" s="17"/>
      <c r="Y1426" s="17"/>
      <c r="Z1426" s="17"/>
    </row>
    <row r="1427" ht="15.75" customHeight="1">
      <c r="A1427" s="24"/>
      <c r="B1427" s="24"/>
      <c r="C1427" s="15"/>
      <c r="D1427" s="24"/>
      <c r="E1427" s="24"/>
      <c r="F1427" s="24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7"/>
      <c r="X1427" s="17"/>
      <c r="Y1427" s="17"/>
      <c r="Z1427" s="17"/>
    </row>
    <row r="1428" ht="15.75" customHeight="1">
      <c r="A1428" s="24"/>
      <c r="B1428" s="24"/>
      <c r="C1428" s="15"/>
      <c r="D1428" s="24"/>
      <c r="E1428" s="24"/>
      <c r="F1428" s="24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7"/>
      <c r="X1428" s="17"/>
      <c r="Y1428" s="17"/>
      <c r="Z1428" s="17"/>
    </row>
    <row r="1429" ht="15.75" customHeight="1">
      <c r="A1429" s="24"/>
      <c r="B1429" s="24"/>
      <c r="C1429" s="15"/>
      <c r="D1429" s="24"/>
      <c r="E1429" s="24"/>
      <c r="F1429" s="24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7"/>
      <c r="X1429" s="17"/>
      <c r="Y1429" s="17"/>
      <c r="Z1429" s="17"/>
    </row>
    <row r="1430" ht="15.75" customHeight="1">
      <c r="A1430" s="24"/>
      <c r="B1430" s="24"/>
      <c r="C1430" s="15"/>
      <c r="D1430" s="24"/>
      <c r="E1430" s="24"/>
      <c r="F1430" s="24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7"/>
      <c r="X1430" s="17"/>
      <c r="Y1430" s="17"/>
      <c r="Z1430" s="17"/>
    </row>
    <row r="1431" ht="15.75" customHeight="1">
      <c r="A1431" s="24"/>
      <c r="B1431" s="24"/>
      <c r="C1431" s="15"/>
      <c r="D1431" s="24"/>
      <c r="E1431" s="24"/>
      <c r="F1431" s="24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7"/>
      <c r="X1431" s="17"/>
      <c r="Y1431" s="17"/>
      <c r="Z1431" s="17"/>
    </row>
    <row r="1432" ht="15.75" customHeight="1">
      <c r="A1432" s="24"/>
      <c r="B1432" s="24"/>
      <c r="C1432" s="15"/>
      <c r="D1432" s="24"/>
      <c r="E1432" s="24"/>
      <c r="F1432" s="24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7"/>
      <c r="X1432" s="17"/>
      <c r="Y1432" s="17"/>
      <c r="Z1432" s="17"/>
    </row>
    <row r="1433" ht="15.75" customHeight="1">
      <c r="A1433" s="24"/>
      <c r="B1433" s="24"/>
      <c r="C1433" s="15"/>
      <c r="D1433" s="24"/>
      <c r="E1433" s="24"/>
      <c r="F1433" s="24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7"/>
      <c r="X1433" s="17"/>
      <c r="Y1433" s="17"/>
      <c r="Z1433" s="17"/>
    </row>
    <row r="1434" ht="15.75" customHeight="1">
      <c r="A1434" s="24"/>
      <c r="B1434" s="24"/>
      <c r="C1434" s="15"/>
      <c r="D1434" s="24"/>
      <c r="E1434" s="24"/>
      <c r="F1434" s="24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7"/>
      <c r="X1434" s="17"/>
      <c r="Y1434" s="17"/>
      <c r="Z1434" s="17"/>
    </row>
    <row r="1435" ht="15.75" customHeight="1">
      <c r="A1435" s="24"/>
      <c r="B1435" s="24"/>
      <c r="C1435" s="15"/>
      <c r="D1435" s="24"/>
      <c r="E1435" s="24"/>
      <c r="F1435" s="24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7"/>
      <c r="X1435" s="17"/>
      <c r="Y1435" s="17"/>
      <c r="Z1435" s="17"/>
    </row>
    <row r="1436" ht="15.75" customHeight="1">
      <c r="A1436" s="24"/>
      <c r="B1436" s="24"/>
      <c r="C1436" s="15"/>
      <c r="D1436" s="24"/>
      <c r="E1436" s="24"/>
      <c r="F1436" s="24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7"/>
      <c r="X1436" s="17"/>
      <c r="Y1436" s="17"/>
      <c r="Z1436" s="17"/>
    </row>
    <row r="1437" ht="15.75" customHeight="1">
      <c r="A1437" s="24"/>
      <c r="B1437" s="24"/>
      <c r="C1437" s="15"/>
      <c r="D1437" s="24"/>
      <c r="E1437" s="24"/>
      <c r="F1437" s="24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7"/>
      <c r="X1437" s="17"/>
      <c r="Y1437" s="17"/>
      <c r="Z1437" s="17"/>
    </row>
    <row r="1438" ht="15.75" customHeight="1">
      <c r="A1438" s="24"/>
      <c r="B1438" s="24"/>
      <c r="C1438" s="15"/>
      <c r="D1438" s="24"/>
      <c r="E1438" s="24"/>
      <c r="F1438" s="24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7"/>
      <c r="X1438" s="17"/>
      <c r="Y1438" s="17"/>
      <c r="Z1438" s="17"/>
    </row>
    <row r="1439" ht="15.75" customHeight="1">
      <c r="A1439" s="24"/>
      <c r="B1439" s="24"/>
      <c r="C1439" s="15"/>
      <c r="D1439" s="24"/>
      <c r="E1439" s="24"/>
      <c r="F1439" s="24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7"/>
      <c r="X1439" s="17"/>
      <c r="Y1439" s="17"/>
      <c r="Z1439" s="17"/>
    </row>
    <row r="1440" ht="15.75" customHeight="1">
      <c r="A1440" s="24"/>
      <c r="B1440" s="24"/>
      <c r="C1440" s="15"/>
      <c r="D1440" s="24"/>
      <c r="E1440" s="24"/>
      <c r="F1440" s="24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7"/>
      <c r="X1440" s="17"/>
      <c r="Y1440" s="17"/>
      <c r="Z1440" s="17"/>
    </row>
    <row r="1441" ht="15.75" customHeight="1">
      <c r="A1441" s="24"/>
      <c r="B1441" s="24"/>
      <c r="C1441" s="15"/>
      <c r="D1441" s="24"/>
      <c r="E1441" s="24"/>
      <c r="F1441" s="24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7"/>
      <c r="X1441" s="17"/>
      <c r="Y1441" s="17"/>
      <c r="Z1441" s="17"/>
    </row>
    <row r="1442" ht="15.75" customHeight="1">
      <c r="A1442" s="24"/>
      <c r="B1442" s="24"/>
      <c r="C1442" s="15"/>
      <c r="D1442" s="24"/>
      <c r="E1442" s="24"/>
      <c r="F1442" s="24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7"/>
      <c r="X1442" s="17"/>
      <c r="Y1442" s="17"/>
      <c r="Z1442" s="17"/>
    </row>
    <row r="1443" ht="15.75" customHeight="1">
      <c r="A1443" s="24"/>
      <c r="B1443" s="24"/>
      <c r="C1443" s="15"/>
      <c r="D1443" s="24"/>
      <c r="E1443" s="24"/>
      <c r="F1443" s="24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7"/>
      <c r="X1443" s="17"/>
      <c r="Y1443" s="17"/>
      <c r="Z1443" s="17"/>
    </row>
    <row r="1444" ht="15.75" customHeight="1">
      <c r="A1444" s="24"/>
      <c r="B1444" s="24"/>
      <c r="C1444" s="15"/>
      <c r="D1444" s="24"/>
      <c r="E1444" s="24"/>
      <c r="F1444" s="24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7"/>
      <c r="X1444" s="17"/>
      <c r="Y1444" s="17"/>
      <c r="Z1444" s="17"/>
    </row>
    <row r="1445" ht="15.75" customHeight="1">
      <c r="A1445" s="24"/>
      <c r="B1445" s="24"/>
      <c r="C1445" s="15"/>
      <c r="D1445" s="24"/>
      <c r="E1445" s="24"/>
      <c r="F1445" s="24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7"/>
      <c r="X1445" s="17"/>
      <c r="Y1445" s="17"/>
      <c r="Z1445" s="17"/>
    </row>
    <row r="1446" ht="15.75" customHeight="1">
      <c r="A1446" s="24"/>
      <c r="B1446" s="24"/>
      <c r="C1446" s="15"/>
      <c r="D1446" s="24"/>
      <c r="E1446" s="24"/>
      <c r="F1446" s="24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7"/>
      <c r="X1446" s="17"/>
      <c r="Y1446" s="17"/>
      <c r="Z1446" s="17"/>
    </row>
    <row r="1447" ht="15.75" customHeight="1">
      <c r="A1447" s="24"/>
      <c r="B1447" s="24"/>
      <c r="C1447" s="15"/>
      <c r="D1447" s="24"/>
      <c r="E1447" s="24"/>
      <c r="F1447" s="24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7"/>
      <c r="X1447" s="17"/>
      <c r="Y1447" s="17"/>
      <c r="Z1447" s="17"/>
    </row>
    <row r="1448" ht="15.75" customHeight="1">
      <c r="A1448" s="24"/>
      <c r="B1448" s="24"/>
      <c r="C1448" s="15"/>
      <c r="D1448" s="24"/>
      <c r="E1448" s="24"/>
      <c r="F1448" s="24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7"/>
      <c r="X1448" s="17"/>
      <c r="Y1448" s="17"/>
      <c r="Z1448" s="17"/>
    </row>
    <row r="1449" ht="15.75" customHeight="1">
      <c r="A1449" s="24"/>
      <c r="B1449" s="24"/>
      <c r="C1449" s="15"/>
      <c r="D1449" s="24"/>
      <c r="E1449" s="24"/>
      <c r="F1449" s="24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7"/>
      <c r="X1449" s="17"/>
      <c r="Y1449" s="17"/>
      <c r="Z1449" s="17"/>
    </row>
    <row r="1450" ht="15.75" customHeight="1">
      <c r="A1450" s="24"/>
      <c r="B1450" s="24"/>
      <c r="C1450" s="15"/>
      <c r="D1450" s="24"/>
      <c r="E1450" s="24"/>
      <c r="F1450" s="24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7"/>
      <c r="X1450" s="17"/>
      <c r="Y1450" s="17"/>
      <c r="Z1450" s="17"/>
    </row>
    <row r="1451" ht="15.75" customHeight="1">
      <c r="A1451" s="24"/>
      <c r="B1451" s="24"/>
      <c r="C1451" s="15"/>
      <c r="D1451" s="24"/>
      <c r="E1451" s="24"/>
      <c r="F1451" s="24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7"/>
      <c r="X1451" s="17"/>
      <c r="Y1451" s="17"/>
      <c r="Z1451" s="17"/>
    </row>
    <row r="1452" ht="15.75" customHeight="1">
      <c r="A1452" s="24"/>
      <c r="B1452" s="24"/>
      <c r="C1452" s="15"/>
      <c r="D1452" s="24"/>
      <c r="E1452" s="24"/>
      <c r="F1452" s="24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7"/>
      <c r="X1452" s="17"/>
      <c r="Y1452" s="17"/>
      <c r="Z1452" s="17"/>
    </row>
    <row r="1453" ht="15.75" customHeight="1">
      <c r="A1453" s="24"/>
      <c r="B1453" s="24"/>
      <c r="C1453" s="15"/>
      <c r="D1453" s="24"/>
      <c r="E1453" s="24"/>
      <c r="F1453" s="24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7"/>
      <c r="X1453" s="17"/>
      <c r="Y1453" s="17"/>
      <c r="Z1453" s="17"/>
    </row>
    <row r="1454" ht="15.75" customHeight="1">
      <c r="A1454" s="24"/>
      <c r="B1454" s="24"/>
      <c r="C1454" s="15"/>
      <c r="D1454" s="24"/>
      <c r="E1454" s="24"/>
      <c r="F1454" s="24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7"/>
      <c r="X1454" s="17"/>
      <c r="Y1454" s="17"/>
      <c r="Z1454" s="17"/>
    </row>
    <row r="1455" ht="15.75" customHeight="1">
      <c r="A1455" s="24"/>
      <c r="B1455" s="24"/>
      <c r="C1455" s="15"/>
      <c r="D1455" s="24"/>
      <c r="E1455" s="24"/>
      <c r="F1455" s="24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7"/>
      <c r="X1455" s="17"/>
      <c r="Y1455" s="17"/>
      <c r="Z1455" s="17"/>
    </row>
    <row r="1456" ht="15.75" customHeight="1">
      <c r="A1456" s="24"/>
      <c r="B1456" s="24"/>
      <c r="C1456" s="15"/>
      <c r="D1456" s="24"/>
      <c r="E1456" s="24"/>
      <c r="F1456" s="24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7"/>
      <c r="X1456" s="17"/>
      <c r="Y1456" s="17"/>
      <c r="Z1456" s="17"/>
    </row>
    <row r="1457" ht="15.75" customHeight="1">
      <c r="A1457" s="24"/>
      <c r="B1457" s="24"/>
      <c r="C1457" s="15"/>
      <c r="D1457" s="24"/>
      <c r="E1457" s="24"/>
      <c r="F1457" s="24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7"/>
      <c r="X1457" s="17"/>
      <c r="Y1457" s="17"/>
      <c r="Z1457" s="17"/>
    </row>
    <row r="1458" ht="15.75" customHeight="1">
      <c r="A1458" s="24"/>
      <c r="B1458" s="24"/>
      <c r="C1458" s="15"/>
      <c r="D1458" s="24"/>
      <c r="E1458" s="24"/>
      <c r="F1458" s="24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7"/>
      <c r="X1458" s="17"/>
      <c r="Y1458" s="17"/>
      <c r="Z1458" s="17"/>
    </row>
    <row r="1459" ht="15.75" customHeight="1">
      <c r="A1459" s="24"/>
      <c r="B1459" s="24"/>
      <c r="C1459" s="15"/>
      <c r="D1459" s="24"/>
      <c r="E1459" s="24"/>
      <c r="F1459" s="24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7"/>
      <c r="X1459" s="17"/>
      <c r="Y1459" s="17"/>
      <c r="Z1459" s="17"/>
    </row>
    <row r="1460" ht="15.75" customHeight="1">
      <c r="A1460" s="24"/>
      <c r="B1460" s="24"/>
      <c r="C1460" s="15"/>
      <c r="D1460" s="24"/>
      <c r="E1460" s="24"/>
      <c r="F1460" s="24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7"/>
      <c r="X1460" s="17"/>
      <c r="Y1460" s="17"/>
      <c r="Z1460" s="17"/>
    </row>
    <row r="1461" ht="15.75" customHeight="1">
      <c r="A1461" s="24"/>
      <c r="B1461" s="24"/>
      <c r="C1461" s="15"/>
      <c r="D1461" s="24"/>
      <c r="E1461" s="24"/>
      <c r="F1461" s="24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7"/>
      <c r="X1461" s="17"/>
      <c r="Y1461" s="17"/>
      <c r="Z1461" s="17"/>
    </row>
    <row r="1462" ht="15.75" customHeight="1">
      <c r="A1462" s="24"/>
      <c r="B1462" s="24"/>
      <c r="C1462" s="15"/>
      <c r="D1462" s="24"/>
      <c r="E1462" s="24"/>
      <c r="F1462" s="24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7"/>
      <c r="X1462" s="17"/>
      <c r="Y1462" s="17"/>
      <c r="Z1462" s="17"/>
    </row>
    <row r="1463" ht="15.75" customHeight="1">
      <c r="A1463" s="24"/>
      <c r="B1463" s="24"/>
      <c r="C1463" s="15"/>
      <c r="D1463" s="24"/>
      <c r="E1463" s="24"/>
      <c r="F1463" s="24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7"/>
      <c r="X1463" s="17"/>
      <c r="Y1463" s="17"/>
      <c r="Z1463" s="17"/>
    </row>
    <row r="1464" ht="15.75" customHeight="1">
      <c r="A1464" s="24"/>
      <c r="B1464" s="24"/>
      <c r="C1464" s="15"/>
      <c r="D1464" s="24"/>
      <c r="E1464" s="24"/>
      <c r="F1464" s="24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7"/>
      <c r="X1464" s="17"/>
      <c r="Y1464" s="17"/>
      <c r="Z1464" s="17"/>
    </row>
    <row r="1465" ht="15.75" customHeight="1">
      <c r="A1465" s="24"/>
      <c r="B1465" s="24"/>
      <c r="C1465" s="15"/>
      <c r="D1465" s="24"/>
      <c r="E1465" s="24"/>
      <c r="F1465" s="24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7"/>
      <c r="X1465" s="17"/>
      <c r="Y1465" s="17"/>
      <c r="Z1465" s="17"/>
    </row>
    <row r="1466" ht="15.75" customHeight="1">
      <c r="A1466" s="24"/>
      <c r="B1466" s="24"/>
      <c r="C1466" s="15"/>
      <c r="D1466" s="24"/>
      <c r="E1466" s="24"/>
      <c r="F1466" s="24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7"/>
      <c r="X1466" s="17"/>
      <c r="Y1466" s="17"/>
      <c r="Z1466" s="17"/>
    </row>
  </sheetData>
  <autoFilter ref="$A$1:$K$521">
    <sortState ref="A1:K521">
      <sortCondition ref="H1:H521"/>
      <sortCondition ref="A1:A521"/>
    </sortState>
  </autoFilter>
  <conditionalFormatting sqref="I1:J23 H2:H23 H27:H319 I27:J1466 H522:H785">
    <cfRule type="expression" dxfId="0" priority="1">
      <formula>NOT(EXACT(TRIM(#REF!), TRIM($H1)))</formula>
    </cfRule>
  </conditionalFormatting>
  <conditionalFormatting sqref="I501:J501 H501">
    <cfRule type="expression" dxfId="0" priority="2">
      <formula>NOT(EXACT(TRIM(#REF!), TRIM($H501)))</formula>
    </cfRule>
  </conditionalFormatting>
  <conditionalFormatting sqref="I478:J485 H478:H485">
    <cfRule type="expression" dxfId="0" priority="3">
      <formula>NOT(EXACT(TRIM(#REF!), TRIM($H478)))</formula>
    </cfRule>
  </conditionalFormatting>
  <conditionalFormatting sqref="I464:J464 H464">
    <cfRule type="expression" dxfId="0" priority="4">
      <formula>NOT(EXACT(TRIM(#REF!), TRIM($H464)))</formula>
    </cfRule>
  </conditionalFormatting>
  <conditionalFormatting sqref="I440:J448 H440:H448">
    <cfRule type="expression" dxfId="0" priority="5">
      <formula>NOT(EXACT(TRIM(#REF!), TRIM($H440)))</formula>
    </cfRule>
  </conditionalFormatting>
  <conditionalFormatting sqref="I436:J436 H436">
    <cfRule type="expression" dxfId="0" priority="6">
      <formula>NOT(EXACT(TRIM(#REF!), TRIM($H436)))</formula>
    </cfRule>
  </conditionalFormatting>
  <conditionalFormatting sqref="I363:J363 H363">
    <cfRule type="expression" dxfId="0" priority="7">
      <formula>NOT(EXACT(TRIM(#REF!), TRIM($H363)))</formula>
    </cfRule>
  </conditionalFormatting>
  <conditionalFormatting sqref="I356:J356 H356">
    <cfRule type="expression" dxfId="0" priority="8">
      <formula>NOT(EXACT(TRIM(#REF!), TRIM($H356)))</formula>
    </cfRule>
  </conditionalFormatting>
  <conditionalFormatting sqref="I354:J354 H354">
    <cfRule type="expression" dxfId="0" priority="9">
      <formula>NOT(EXACT(TRIM(#REF!), TRIM($H354)))</formula>
    </cfRule>
  </conditionalFormatting>
  <conditionalFormatting sqref="I346:J347 H346:H347">
    <cfRule type="expression" dxfId="0" priority="10">
      <formula>NOT(EXACT(TRIM(#REF!), TRIM($H346)))</formula>
    </cfRule>
  </conditionalFormatting>
  <conditionalFormatting sqref="I252:J252 H252">
    <cfRule type="expression" dxfId="0" priority="11">
      <formula>NOT(EXACT(TRIM(#REF!), TRIM($H252)))</formula>
    </cfRule>
  </conditionalFormatting>
  <conditionalFormatting sqref="I174:J174 H174">
    <cfRule type="expression" dxfId="0" priority="12">
      <formula>NOT(EXACT(TRIM(#REF!), TRIM($H174)))</formula>
    </cfRule>
  </conditionalFormatting>
  <conditionalFormatting sqref="I110:J110 H110">
    <cfRule type="expression" dxfId="0" priority="13">
      <formula>NOT(EXACT(TRIM(#REF!), TRIM($H110)))</formula>
    </cfRule>
  </conditionalFormatting>
  <conditionalFormatting sqref="I67:J84 H67:H84">
    <cfRule type="expression" dxfId="0" priority="14">
      <formula>NOT(EXACT(TRIM(#REF!), TRIM($H67)))</formula>
    </cfRule>
  </conditionalFormatting>
  <conditionalFormatting sqref="I59:J59 H59">
    <cfRule type="expression" dxfId="0" priority="15">
      <formula>NOT(EXACT(TRIM(#REF!), TRIM($H59)))</formula>
    </cfRule>
  </conditionalFormatting>
  <conditionalFormatting sqref="I49:J55 H49:H55">
    <cfRule type="expression" dxfId="0" priority="16">
      <formula>NOT(EXACT(TRIM(#REF!), TRIM($H49)))</formula>
    </cfRule>
  </conditionalFormatting>
  <conditionalFormatting sqref="I1:J1">
    <cfRule type="expression" dxfId="0" priority="17">
      <formula>NOT(EXACT(TRIM(#REF!), TRIM($H1)))</formula>
    </cfRule>
  </conditionalFormatting>
  <printOptions/>
  <pageMargins bottom="1.0" footer="0.0" header="0.0" left="0.75" right="0.75" top="1.0"/>
  <pageSetup orientation="landscape"/>
  <drawing r:id="rId1"/>
</worksheet>
</file>